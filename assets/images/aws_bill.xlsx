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mchollid/Desktop/"/>
    </mc:Choice>
  </mc:AlternateContent>
  <xr:revisionPtr revIDLastSave="0" documentId="8_{832AAFB5-6611-AB44-BC1A-E6962AA82FB2}" xr6:coauthVersionLast="47" xr6:coauthVersionMax="47" xr10:uidLastSave="{00000000-0000-0000-0000-000000000000}"/>
  <bookViews>
    <workbookView xWindow="0" yWindow="760" windowWidth="30240" windowHeight="17700" xr2:uid="{DC6CD402-FD01-48E3-B659-D7B4C1E7EA6E}"/>
  </bookViews>
  <sheets>
    <sheet name="Product Breakdown" sheetId="5" r:id="rId1"/>
    <sheet name="Product Breakdown + DR" sheetId="8" r:id="rId2"/>
    <sheet name="OCI Estimate" sheetId="3" r:id="rId3"/>
    <sheet name="AWS Estimat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 l="1"/>
  <c r="F18" i="5"/>
  <c r="C18" i="5"/>
  <c r="C45" i="8"/>
  <c r="G105" i="3"/>
  <c r="F45" i="8"/>
  <c r="C36" i="8"/>
  <c r="C8" i="8" s="1"/>
  <c r="F27" i="4"/>
  <c r="F28" i="4" s="1"/>
  <c r="G26" i="4"/>
  <c r="G107" i="3"/>
  <c r="F10" i="5"/>
  <c r="F38" i="8" s="1"/>
  <c r="F7" i="5"/>
  <c r="F8" i="5"/>
  <c r="F36" i="8" s="1"/>
  <c r="F8" i="8" s="1"/>
  <c r="F9" i="5"/>
  <c r="F10" i="8"/>
  <c r="F11" i="5"/>
  <c r="F12" i="5"/>
  <c r="F17" i="8"/>
  <c r="C9" i="5"/>
  <c r="C37" i="8" s="1"/>
  <c r="C9" i="8" s="1"/>
  <c r="C7" i="5"/>
  <c r="C41" i="8"/>
  <c r="C13" i="8" s="1"/>
  <c r="C12" i="5"/>
  <c r="C40" i="8" s="1"/>
  <c r="C12" i="8" s="1"/>
  <c r="C11" i="5"/>
  <c r="C39" i="8" s="1"/>
  <c r="C11" i="8" s="1"/>
  <c r="C10" i="5"/>
  <c r="C38" i="8" s="1"/>
  <c r="C10" i="8" s="1"/>
  <c r="G108" i="3"/>
  <c r="C21" i="5" l="1"/>
  <c r="C22" i="5" s="1"/>
  <c r="C35" i="8"/>
  <c r="C7" i="8" s="1"/>
  <c r="F40" i="8"/>
  <c r="F12" i="8" s="1"/>
  <c r="F39" i="8"/>
  <c r="F11" i="8" s="1"/>
  <c r="F37" i="8"/>
  <c r="F9" i="8" s="1"/>
  <c r="F23" i="5"/>
  <c r="F24" i="5" s="1"/>
  <c r="F35" i="8"/>
  <c r="C48" i="8"/>
  <c r="C17" i="8"/>
  <c r="C20" i="8" s="1"/>
  <c r="C24" i="5"/>
  <c r="C23" i="5"/>
  <c r="H23" i="5"/>
  <c r="H24" i="5"/>
  <c r="C21" i="8"/>
  <c r="C49" i="8"/>
  <c r="F50" i="8" l="1"/>
  <c r="F51" i="8" s="1"/>
  <c r="F7" i="8"/>
  <c r="F22" i="8" s="1"/>
  <c r="F25" i="5"/>
  <c r="F26" i="5"/>
  <c r="C50" i="8"/>
  <c r="C51" i="8"/>
  <c r="F52" i="8"/>
  <c r="F53" i="8"/>
  <c r="C22" i="8"/>
  <c r="C23" i="8"/>
  <c r="H26" i="5"/>
  <c r="H25" i="5"/>
  <c r="F23" i="8" l="1"/>
  <c r="F26" i="8"/>
  <c r="F24" i="8" l="1"/>
  <c r="F28" i="8" s="1"/>
  <c r="F25" i="8"/>
  <c r="F29" i="8" s="1"/>
  <c r="F27" i="8"/>
</calcChain>
</file>

<file path=xl/sharedStrings.xml><?xml version="1.0" encoding="utf-8"?>
<sst xmlns="http://schemas.openxmlformats.org/spreadsheetml/2006/main" count="674" uniqueCount="168">
  <si>
    <t>OCI and AWS Price Compare</t>
  </si>
  <si>
    <t>Amazon Web Services</t>
  </si>
  <si>
    <t>Oracle Cloud Infrastructure</t>
  </si>
  <si>
    <t xml:space="preserve"> </t>
  </si>
  <si>
    <t>AWS Service</t>
  </si>
  <si>
    <t>OCI Service</t>
  </si>
  <si>
    <t>Amazon Elastic Compute Cloud</t>
  </si>
  <si>
    <t>OCI Compute**</t>
  </si>
  <si>
    <t>Amazon WorkSpaces</t>
  </si>
  <si>
    <t>Secure Desktop</t>
  </si>
  <si>
    <t>Amazon DynamoDB</t>
  </si>
  <si>
    <t>OCI Compute w/ NoSQL</t>
  </si>
  <si>
    <t>Elastic Load Balancing</t>
  </si>
  <si>
    <t>Flexible Load Balancer</t>
  </si>
  <si>
    <t>Amazon Simple Storage Service</t>
  </si>
  <si>
    <t>Object Storage</t>
  </si>
  <si>
    <t>Amazon File Storage</t>
  </si>
  <si>
    <t>File Storage</t>
  </si>
  <si>
    <t>AWS Data Transfer</t>
  </si>
  <si>
    <t>OCI Data Transfer**</t>
  </si>
  <si>
    <t>Amazon Virtual Private Cloud</t>
  </si>
  <si>
    <t>Virtual Cloud Network</t>
  </si>
  <si>
    <t>FastConnect 1Gbps Port</t>
  </si>
  <si>
    <t>AmazonCloudWatch</t>
  </si>
  <si>
    <t>OCI Logging</t>
  </si>
  <si>
    <t>AWS Security Hub</t>
  </si>
  <si>
    <t>Cloud Guard</t>
  </si>
  <si>
    <t>Direct Connect 1Gbps Port</t>
  </si>
  <si>
    <t>AWS Secrets Manager</t>
  </si>
  <si>
    <t>Secrets Management with OCI Vault</t>
  </si>
  <si>
    <t>Tax</t>
  </si>
  <si>
    <t>TBD</t>
  </si>
  <si>
    <t>VPN</t>
  </si>
  <si>
    <t xml:space="preserve">Total AWS - Monthly </t>
  </si>
  <si>
    <t>Enterprise Support7x24 365</t>
  </si>
  <si>
    <t>Total AWS - Yearly</t>
  </si>
  <si>
    <t>Total AWS - 3yrs</t>
  </si>
  <si>
    <t xml:space="preserve">Total OCI - Monthly </t>
  </si>
  <si>
    <t>Monthly Cost Savings on OCI</t>
  </si>
  <si>
    <t>Total AWS - 5yrs</t>
  </si>
  <si>
    <t>Total OCI - Yearly</t>
  </si>
  <si>
    <t>Annual Cost Savings on OCI</t>
  </si>
  <si>
    <t>Total OCI - 3yrs</t>
  </si>
  <si>
    <t>3yr Cost Savings on OCI</t>
  </si>
  <si>
    <t>Total OCI - 5yrs</t>
  </si>
  <si>
    <t>5yr Cost Savings on OCI</t>
  </si>
  <si>
    <t>**All priced on Windows Server (LI)</t>
  </si>
  <si>
    <t>**Data Transfer based on 2TB with FastConnect and DirectConnect of outbound transfer</t>
  </si>
  <si>
    <t>DIASTER RECOVERY (Warm DR)</t>
  </si>
  <si>
    <t>OCI Compute</t>
  </si>
  <si>
    <t>OCI Data Transfer</t>
  </si>
  <si>
    <t xml:space="preserve"> TBD</t>
  </si>
  <si>
    <t>Warm DR at 50% Utilization Price</t>
  </si>
  <si>
    <t>Oracle Investment Proposal (as of 06/20/2025)</t>
  </si>
  <si>
    <t>Currency: USD</t>
  </si>
  <si>
    <t>Realm: PUBLIC</t>
  </si>
  <si>
    <t>Service Type: PAAS</t>
  </si>
  <si>
    <t>Part</t>
  </si>
  <si>
    <t>Description</t>
  </si>
  <si>
    <t>Part Qty</t>
  </si>
  <si>
    <t>Instance Qty</t>
  </si>
  <si>
    <t>Usage Qty</t>
  </si>
  <si>
    <t>Unit Price</t>
  </si>
  <si>
    <t>Monthly Cost</t>
  </si>
  <si>
    <t>Custom Label</t>
  </si>
  <si>
    <t>Custom Note</t>
  </si>
  <si>
    <t xml:space="preserve">cgia-pro-wrkstn </t>
  </si>
  <si>
    <t>B95518</t>
  </si>
  <si>
    <t>Secure Desktop (Desktop Per Month)</t>
  </si>
  <si>
    <t>B97384</t>
  </si>
  <si>
    <t>Compute - Standard - E5 - OCPU (OCPU Per Hour)
Capacity Type: On-Demand</t>
  </si>
  <si>
    <t>B97385</t>
  </si>
  <si>
    <t>Compute - Standard - E5 - Memory (Gigabyte Per Hour)
Capacity Type: On-Demand</t>
  </si>
  <si>
    <t>Boot Volume</t>
  </si>
  <si>
    <t>B91961</t>
  </si>
  <si>
    <t>Storage - Block Volume - Storage (Gigabyte Storage Capacity Per Month)</t>
  </si>
  <si>
    <t>B91962</t>
  </si>
  <si>
    <t>Storage - Block Volume - Performance Units (Performance Units Per Gigabyte Per Month)</t>
  </si>
  <si>
    <t xml:space="preserve">cgia-prd-web  </t>
  </si>
  <si>
    <t>B111129</t>
  </si>
  <si>
    <t>OCI - Compute - Standard - E6 - OCPU (OCPU Per Hour)
Capacity Type: On-Demand</t>
  </si>
  <si>
    <t>B111130</t>
  </si>
  <si>
    <t>OCI - Compute - Standard - E6 - Memory (Gigabyte Per Hour)
Capacity Type: On-Demand</t>
  </si>
  <si>
    <t>B88318</t>
  </si>
  <si>
    <t>Compute - Windows OS (OCPU Per Hour)</t>
  </si>
  <si>
    <t>cgia-gismon</t>
  </si>
  <si>
    <t>cgia-prd-portal</t>
  </si>
  <si>
    <t>cgia-prd-srvhst</t>
  </si>
  <si>
    <t>cgia-prd-srvmap</t>
  </si>
  <si>
    <t>nms-prd-srvnb</t>
  </si>
  <si>
    <t>nms-prd-srvimg</t>
  </si>
  <si>
    <t>nms-prd-srvhst</t>
  </si>
  <si>
    <t>cgia-prd-dsrel</t>
  </si>
  <si>
    <t>cgia-prd-egdb (VM.Standard.E3.Flex)</t>
  </si>
  <si>
    <t/>
  </si>
  <si>
    <t>B94176</t>
  </si>
  <si>
    <t>Compute - Standard - X9 - OCPU (OCPU Per Hour)
Capacity Type: On-Demand</t>
  </si>
  <si>
    <t>B94177</t>
  </si>
  <si>
    <t>Compute - Standard - X9 - Memory (Gigabyte Per Hour)
Capacity Type: On-Demand</t>
  </si>
  <si>
    <t>cgia-prd-egdb block volume</t>
  </si>
  <si>
    <t>Load Balancer</t>
  </si>
  <si>
    <t>B93030</t>
  </si>
  <si>
    <t>Load Balancer Base (Load Balancer)</t>
  </si>
  <si>
    <t>B93031</t>
  </si>
  <si>
    <t>Load Balancer Bandwidth (Mbps Per Hour)</t>
  </si>
  <si>
    <t>DynamoDB VM</t>
  </si>
  <si>
    <t>B91628</t>
  </si>
  <si>
    <t>Object Storage - Storage (Gigabyte Storage Capacity Per Month)</t>
  </si>
  <si>
    <t>B91627</t>
  </si>
  <si>
    <t>Object Storage - Requests (10,000 Requests per Month (first 50,000 free))</t>
  </si>
  <si>
    <t>B89057</t>
  </si>
  <si>
    <t>File Storage - Storage (Gigabyte Storage Capacity Per Month)</t>
  </si>
  <si>
    <t>FastConnect</t>
  </si>
  <si>
    <t>B88325</t>
  </si>
  <si>
    <t>OCI - FastConnect 1 Gbps (Port Hour)</t>
  </si>
  <si>
    <t>Monthly Total</t>
  </si>
  <si>
    <t>Annual Total</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</si>
  <si>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</si>
  <si>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</si>
  <si>
    <t>Estimate summary</t>
  </si>
  <si>
    <t>Upfront cost</t>
  </si>
  <si>
    <t>Monthly cost</t>
  </si>
  <si>
    <t>Total 12 months cost</t>
  </si>
  <si>
    <t>Currency</t>
  </si>
  <si>
    <t>USD</t>
  </si>
  <si>
    <t>* Includes upfront cost</t>
  </si>
  <si>
    <t>Detailed Estimate</t>
  </si>
  <si>
    <t>Group hierarchy</t>
  </si>
  <si>
    <t>Region</t>
  </si>
  <si>
    <t>Service</t>
  </si>
  <si>
    <t>Upfront</t>
  </si>
  <si>
    <t>Monthly</t>
  </si>
  <si>
    <t>First 12 months total</t>
  </si>
  <si>
    <t>Status</t>
  </si>
  <si>
    <t>Configuration summary</t>
  </si>
  <si>
    <t>US East (N. Virginia)</t>
  </si>
  <si>
    <t>cgia-prd-web</t>
  </si>
  <si>
    <t xml:space="preserve">Amazon EC2 </t>
  </si>
  <si>
    <t>Tenancy (Shared Instances), Operating system (Windows Server), Workload (Consistent, Number of instances: 2), Advance EC2 instance (m7a.large), Pricing strategy (On-Demand Utilization: 730 Hours/Month), Enable monitoring (disabled), EBS Storage amount (100 GB), DT Inbound: Not selected (0 TB per month), DT Outbound: Not selected (0 TB per month), DT Intra-Region: (0 TB per month)</t>
  </si>
  <si>
    <t>Tenancy (Shared Instances), Operating system (Windows Server), Workload (Consistent, Number of instances: 1), Advance EC2 instance (m7a.xlarge), Pricing strategy (On-Demand Utilization: 730 Hours/Month), Enable monitoring (disabled), EBS Storage amount (100 GB), DT Inbound: Not selected (0 TB per month), DT Outbound: Not selected (0 TB per month), DT Intra-Region: (0 TB per month)</t>
  </si>
  <si>
    <t>Tenancy (Shared Instances), Operating system (Windows Server), Workload (Consistent, Number of instances: 2), Advance EC2 instance (m7a.xlarge), Pricing strategy (On-Demand Utilization: 730 Hours/Month), Enable monitoring (disabled), EBS Storage amount (100 GB), DT Inbound: Not selected (0 TB per month), DT Outbound: Not selected (0 TB per month), DT Intra-Region: (0 TB per month)</t>
  </si>
  <si>
    <t>Tenancy (Shared Instances), Operating system (Windows Server), Workload (Consistent, Number of instances: 2), Advance EC2 instance (m7a.2xlarge), Pricing strategy (On-Demand Utilization: 730 Hours/Month), Enable monitoring (disabled), EBS Storage amount (100 GB), DT Inbound: Not selected (0 TB per month), DT Outbound: Not selected (0 TB per month), DT Intra-Region: (0 TB per month)</t>
  </si>
  <si>
    <t>cgia-prd-egdb</t>
  </si>
  <si>
    <t>Tenancy (Shared Instances), Operating system (Windows Server), Workload (Consistent, Number of instances: 1), Advance EC2 instance (r7i.2xlarge), Pricing strategy (On-Demand Utilization: 730 Hours/Month), Enable monitoring (disabled), EBS Storage amount (1000 GB), DT Inbound: Not selected (0 TB per month), DT Outbound: Not selected (0 TB per month), DT Intra-Region: (0 TB per month)</t>
  </si>
  <si>
    <t xml:space="preserve">S3 Storage </t>
  </si>
  <si>
    <t>S3 Standard</t>
  </si>
  <si>
    <t>S3 Standard storage (1000 GB per month), PUT, COPY, POST, LIST requests to S3 Standard (10000), GET, SELECT, and all other requests from S3 Standard (10000)</t>
  </si>
  <si>
    <t>Data Transfer</t>
  </si>
  <si>
    <t>DT Inbound: Not selected (0 TB per month), DT Outbound: Not selected (0 TB per month)</t>
  </si>
  <si>
    <t>Amazon Elastic File System (EFS)</t>
  </si>
  <si>
    <t>Desired Storage Capacity (100 GB per month)</t>
  </si>
  <si>
    <t>DynamoDB</t>
  </si>
  <si>
    <t>DynamoDB on-demand capacity</t>
  </si>
  <si>
    <t>Table class (Standard), Average item size (all attributes) (1 KB), Data storage size (250 GB)</t>
  </si>
  <si>
    <t>WorkSpaces Personal</t>
  </si>
  <si>
    <t>Product (Enterprise Applications), Operating system (Windows), License (Included), Bundle type (PowerPro (8 vCPU, 32GB RAM)), Root volume (80 GB), User volume (10 GB), Number of WorkSpaces (10), Additional storage (200 GB)</t>
  </si>
  <si>
    <t xml:space="preserve">Load Balancer </t>
  </si>
  <si>
    <t>Application Load Balancer</t>
  </si>
  <si>
    <t>Number of Application Load Balancers (2)</t>
  </si>
  <si>
    <t>DT Inbound: Internet (1 TB per month), DT Outbound: Internet (2 TB per month), DT Intra-Region: (0 TB per month), Data transfer cost (184.32)</t>
  </si>
  <si>
    <t>Direct Connect</t>
  </si>
  <si>
    <t>AWS Direct Connect</t>
  </si>
  <si>
    <t>Number of ports (2), Location (Digital Realty IAD38, Ashburn, VA), Port type (Dedicated), Port capacity (1G)</t>
  </si>
  <si>
    <t>Annual</t>
  </si>
  <si>
    <t>Acknowledgement</t>
  </si>
  <si>
    <t>* AWS Pricing Calculator provides only an estimate of your AWS fees and doesn't include any taxes that might apply. Your actual fees depend on a variety of factors, including your actual usage of AWS services.</t>
  </si>
  <si>
    <t>CUSTOMER AWS BOM Draft</t>
  </si>
  <si>
    <t>Reference label: CUSTOMER BOM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</si>
</sst>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4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name val="Calibri"/>
      <family val="2"/>
    </font>
    <font>
      <sz val="12"/>
      <name val="Calibri"/>
      <family val="2"/>
    </font>
    <font>
      <b/>
      <sz val="11"/>
      <name val="Calibri"/>
      <family val="2"/>
    </font>
    <font>
      <b/>
      <sz val="10"/>
      <name val="Calibri"/>
      <family val="2"/>
    </font>
    <font>
      <b/>
      <sz val="10"/>
      <color rgb="FFF80000"/>
      <name val="Calibri"/>
      <family val="2"/>
    </font>
    <font>
      <sz val="10"/>
      <name val="Calibri"/>
      <family val="2"/>
    </font>
    <font>
      <sz val="11"/>
      <color rgb="FF000000"/>
      <name val="Calibri"/>
      <family val="2"/>
    </font>
    <font>
      <b/>
      <sz val="14"/>
      <color rgb="FFFFFFFF"/>
      <name val="Calibri"/>
      <family val="2"/>
    </font>
    <font>
      <b/>
      <sz val="14"/>
      <name val="Calibri"/>
      <family val="2"/>
    </font>
    <font>
      <sz val="14"/>
      <name val="Calibri"/>
      <family val="2"/>
    </font>
    <font>
      <sz val="12"/>
      <color rgb="FF000000"/>
      <name val="Aptos Narrow"/>
      <family val="2"/>
    </font>
    <font>
      <b/>
      <sz val="12"/>
      <color rgb="FF000000"/>
      <name val="Aptos Narrow"/>
      <family val="2"/>
    </font>
    <font>
      <sz val="12"/>
      <name val="Calibri"/>
      <family val="2"/>
    </font>
    <font>
      <b/>
      <sz val="11"/>
      <name val="Calibri"/>
      <family val="2"/>
    </font>
    <font>
      <b/>
      <sz val="10"/>
      <name val="Calibri"/>
      <family val="2"/>
    </font>
    <font>
      <b/>
      <sz val="10"/>
      <color rgb="FFF80000"/>
      <name val="Calibri"/>
      <family val="2"/>
    </font>
    <font>
      <sz val="10"/>
      <name val="Calibri"/>
      <family val="2"/>
    </font>
    <font>
      <b/>
      <sz val="11"/>
      <color rgb="FF000000"/>
      <name val="Calibri"/>
      <family val="2"/>
    </font>
    <font>
      <sz val="14"/>
      <color rgb="FF000000"/>
      <name val="Calibri"/>
      <family val="2"/>
    </font>
    <font>
      <b/>
      <sz val="14"/>
      <color theme="0"/>
      <name val="Calibri"/>
      <family val="2"/>
    </font>
    <font>
      <sz val="11"/>
      <color rgb="FF000000"/>
      <name val="Calibri"/>
      <family val="2"/>
    </font>
    <font>
      <sz val="12"/>
      <color rgb="FF000000"/>
      <name val="Aptos Narrow"/>
    </font>
    <font>
      <sz val="18"/>
      <color rgb="FF000000"/>
      <name val="Arial Rounded MT Bold"/>
      <family val="2"/>
    </font>
    <font>
      <b/>
      <sz val="20"/>
      <color rgb="FF000000"/>
      <name val="Arial"/>
      <family val="2"/>
    </font>
    <font>
      <b/>
      <sz val="14"/>
      <color rgb="FF000000"/>
      <name val="Arial"/>
      <family val="2"/>
    </font>
    <font>
      <sz val="12"/>
      <color rgb="FF000000"/>
      <name val="Aptos Narrow"/>
    </font>
    <font>
      <b/>
      <sz val="14"/>
      <color rgb="FFFFFFFF"/>
      <name val="Calibri"/>
      <family val="2"/>
    </font>
    <font>
      <sz val="14"/>
      <name val="Calibri"/>
      <family val="2"/>
    </font>
    <font>
      <sz val="14"/>
      <color rgb="FF000000"/>
      <name val="Calibri"/>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B9BD5"/>
        <bgColor rgb="FF000000"/>
      </patternFill>
    </fill>
    <fill>
      <patternFill patternType="solid">
        <fgColor rgb="FF0070C0"/>
        <bgColor rgb="FF000000"/>
      </patternFill>
    </fill>
    <fill>
      <patternFill patternType="solid">
        <fgColor rgb="FFD9E1F2"/>
        <bgColor rgb="FF000000"/>
      </patternFill>
    </fill>
    <fill>
      <patternFill patternType="solid">
        <fgColor rgb="FFE4F1F7"/>
        <bgColor rgb="FF000000"/>
      </patternFill>
    </fill>
    <fill>
      <patternFill patternType="solid">
        <fgColor theme="5"/>
        <bgColor indexed="64"/>
      </patternFill>
    </fill>
    <fill>
      <patternFill patternType="solid">
        <fgColor rgb="FFED7D32"/>
        <bgColor indexed="64"/>
      </patternFill>
    </fill>
    <fill>
      <patternFill patternType="solid">
        <fgColor rgb="FF5B9BD5"/>
        <bgColor indexed="64"/>
      </patternFill>
    </fill>
    <fill>
      <patternFill patternType="solid">
        <fgColor rgb="FF92D050"/>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7">
    <xf numFmtId="0" fontId="0" fillId="0" borderId="0" xfId="0"/>
    <xf numFmtId="0" fontId="18" fillId="0" borderId="0" xfId="0" applyFont="1"/>
    <xf numFmtId="0" fontId="19" fillId="0" borderId="0" xfId="0" applyFont="1"/>
    <xf numFmtId="0" fontId="20" fillId="0" borderId="0" xfId="0" applyFont="1" applyAlignment="1">
      <alignment vertical="center" wrapText="1"/>
    </xf>
    <xf numFmtId="0" fontId="21" fillId="0" borderId="0" xfId="0" applyFont="1"/>
    <xf numFmtId="0" fontId="20" fillId="0" borderId="0" xfId="0" applyFont="1"/>
    <xf numFmtId="0" fontId="22" fillId="0" borderId="0" xfId="0" applyFont="1"/>
    <xf numFmtId="0" fontId="23" fillId="0" borderId="0" xfId="0" applyFont="1" applyAlignment="1">
      <alignment vertical="top" wrapText="1"/>
    </xf>
    <xf numFmtId="49" fontId="0" fillId="0" borderId="0" xfId="0" applyNumberFormat="1"/>
    <xf numFmtId="0" fontId="24" fillId="0" borderId="0" xfId="0" applyFont="1"/>
    <xf numFmtId="0" fontId="25" fillId="33" borderId="0" xfId="0" applyFont="1" applyFill="1"/>
    <xf numFmtId="0" fontId="25" fillId="34" borderId="0" xfId="0" applyFont="1" applyFill="1"/>
    <xf numFmtId="0" fontId="26" fillId="0" borderId="10" xfId="0" applyFont="1" applyBorder="1"/>
    <xf numFmtId="0" fontId="26" fillId="0" borderId="12" xfId="0" applyFont="1" applyBorder="1"/>
    <xf numFmtId="0" fontId="25" fillId="34" borderId="12" xfId="0" applyFont="1" applyFill="1" applyBorder="1"/>
    <xf numFmtId="0" fontId="25" fillId="0" borderId="0" xfId="0" applyFont="1"/>
    <xf numFmtId="0" fontId="28" fillId="0" borderId="0" xfId="0" applyFont="1"/>
    <xf numFmtId="164" fontId="29" fillId="0" borderId="0" xfId="0" applyNumberFormat="1" applyFont="1"/>
    <xf numFmtId="0" fontId="26" fillId="0" borderId="0" xfId="0" applyFont="1"/>
    <xf numFmtId="0" fontId="30" fillId="0" borderId="0" xfId="0" applyFont="1"/>
    <xf numFmtId="0" fontId="31" fillId="36" borderId="0" xfId="0" applyFont="1" applyFill="1" applyAlignment="1">
      <alignment wrapText="1"/>
    </xf>
    <xf numFmtId="0" fontId="32" fillId="0" borderId="0" xfId="0" applyFont="1"/>
    <xf numFmtId="0" fontId="24" fillId="0" borderId="0" xfId="0" applyFont="1" applyAlignment="1">
      <alignment wrapText="1"/>
    </xf>
    <xf numFmtId="0" fontId="31" fillId="0" borderId="0" xfId="0" applyFont="1"/>
    <xf numFmtId="0" fontId="33" fillId="0" borderId="0" xfId="0" applyFont="1"/>
    <xf numFmtId="0" fontId="34" fillId="0" borderId="0" xfId="0" applyFont="1"/>
    <xf numFmtId="164" fontId="31" fillId="0" borderId="0" xfId="0" applyNumberFormat="1" applyFont="1"/>
    <xf numFmtId="0" fontId="35" fillId="0" borderId="0" xfId="0" applyFont="1"/>
    <xf numFmtId="164" fontId="35" fillId="0" borderId="0" xfId="0" applyNumberFormat="1" applyFont="1"/>
    <xf numFmtId="0" fontId="25" fillId="37" borderId="0" xfId="0" applyFont="1" applyFill="1"/>
    <xf numFmtId="164" fontId="28" fillId="0" borderId="0" xfId="0" applyNumberFormat="1" applyFont="1"/>
    <xf numFmtId="164" fontId="0" fillId="0" borderId="0" xfId="0" applyNumberFormat="1"/>
    <xf numFmtId="164" fontId="25" fillId="34" borderId="0" xfId="0" applyNumberFormat="1" applyFont="1" applyFill="1"/>
    <xf numFmtId="164" fontId="27" fillId="35" borderId="11" xfId="0" applyNumberFormat="1" applyFont="1" applyFill="1" applyBorder="1"/>
    <xf numFmtId="164" fontId="36" fillId="35" borderId="13" xfId="0" applyNumberFormat="1" applyFont="1" applyFill="1" applyBorder="1"/>
    <xf numFmtId="164" fontId="27" fillId="35" borderId="13" xfId="0" applyNumberFormat="1" applyFont="1" applyFill="1" applyBorder="1"/>
    <xf numFmtId="164" fontId="25" fillId="34" borderId="11" xfId="0" applyNumberFormat="1" applyFont="1" applyFill="1" applyBorder="1"/>
    <xf numFmtId="164" fontId="24" fillId="0" borderId="0" xfId="0" applyNumberFormat="1" applyFont="1"/>
    <xf numFmtId="164" fontId="27" fillId="35" borderId="13" xfId="0" applyNumberFormat="1" applyFont="1" applyFill="1" applyBorder="1" applyAlignment="1">
      <alignment horizontal="right"/>
    </xf>
    <xf numFmtId="164" fontId="26" fillId="38" borderId="0" xfId="0" applyNumberFormat="1" applyFont="1" applyFill="1"/>
    <xf numFmtId="164" fontId="26" fillId="39" borderId="0" xfId="0" applyNumberFormat="1" applyFont="1" applyFill="1"/>
    <xf numFmtId="0" fontId="25" fillId="39" borderId="12" xfId="0" applyFont="1" applyFill="1" applyBorder="1"/>
    <xf numFmtId="164" fontId="25" fillId="39" borderId="0" xfId="0" applyNumberFormat="1" applyFont="1" applyFill="1"/>
    <xf numFmtId="164" fontId="25" fillId="39" borderId="14" xfId="0" applyNumberFormat="1" applyFont="1" applyFill="1" applyBorder="1"/>
    <xf numFmtId="0" fontId="25" fillId="38" borderId="12" xfId="0" applyFont="1" applyFill="1" applyBorder="1"/>
    <xf numFmtId="164" fontId="25" fillId="38" borderId="0" xfId="0" applyNumberFormat="1" applyFont="1" applyFill="1"/>
    <xf numFmtId="164" fontId="25" fillId="38" borderId="14" xfId="0" applyNumberFormat="1" applyFont="1" applyFill="1" applyBorder="1"/>
    <xf numFmtId="0" fontId="25" fillId="40" borderId="12" xfId="0" applyFont="1" applyFill="1" applyBorder="1"/>
    <xf numFmtId="164" fontId="37" fillId="40" borderId="0" xfId="0" applyNumberFormat="1" applyFont="1" applyFill="1"/>
    <xf numFmtId="164" fontId="25" fillId="0" borderId="0" xfId="0" applyNumberFormat="1" applyFont="1"/>
    <xf numFmtId="0" fontId="38" fillId="0" borderId="0" xfId="0" applyFont="1"/>
    <xf numFmtId="0" fontId="0" fillId="0" borderId="0" xfId="0" applyAlignment="1">
      <alignment horizontal="center"/>
    </xf>
    <xf numFmtId="0" fontId="0" fillId="0" borderId="0" xfId="0" applyAlignment="1">
      <alignment horizontal="left"/>
    </xf>
    <xf numFmtId="49" fontId="21" fillId="0" borderId="0" xfId="0" applyNumberFormat="1" applyFont="1"/>
    <xf numFmtId="49" fontId="0" fillId="0" borderId="0" xfId="0" applyNumberFormat="1" applyAlignment="1">
      <alignment horizontal="left" wrapText="1" indent="4"/>
    </xf>
    <xf numFmtId="164" fontId="39" fillId="0" borderId="0" xfId="0" applyNumberFormat="1" applyFont="1"/>
    <xf numFmtId="0" fontId="40" fillId="0" borderId="0" xfId="0" applyFont="1"/>
    <xf numFmtId="0" fontId="41" fillId="0" borderId="0" xfId="0" applyFont="1"/>
    <xf numFmtId="0" fontId="42" fillId="0" borderId="0" xfId="0" applyFont="1"/>
    <xf numFmtId="0" fontId="43" fillId="0" borderId="0" xfId="0" applyFont="1"/>
    <xf numFmtId="0" fontId="39" fillId="0" borderId="0" xfId="0" applyFont="1"/>
    <xf numFmtId="164" fontId="43" fillId="0" borderId="0" xfId="0" applyNumberFormat="1" applyFont="1"/>
    <xf numFmtId="0" fontId="24" fillId="41" borderId="0" xfId="0" applyFont="1" applyFill="1"/>
    <xf numFmtId="0" fontId="44" fillId="40" borderId="12" xfId="0" applyFont="1" applyFill="1" applyBorder="1"/>
    <xf numFmtId="164" fontId="44" fillId="38" borderId="14" xfId="0" applyNumberFormat="1" applyFont="1" applyFill="1" applyBorder="1"/>
    <xf numFmtId="164" fontId="44" fillId="38" borderId="0" xfId="0" applyNumberFormat="1" applyFont="1" applyFill="1"/>
    <xf numFmtId="0" fontId="44" fillId="38" borderId="12" xfId="0" applyFont="1" applyFill="1" applyBorder="1"/>
    <xf numFmtId="164" fontId="44" fillId="34" borderId="11" xfId="0" applyNumberFormat="1" applyFont="1" applyFill="1" applyBorder="1"/>
    <xf numFmtId="0" fontId="44" fillId="34" borderId="12" xfId="0" applyFont="1" applyFill="1" applyBorder="1"/>
    <xf numFmtId="164" fontId="45" fillId="35" borderId="13" xfId="0" applyNumberFormat="1" applyFont="1" applyFill="1" applyBorder="1" applyAlignment="1">
      <alignment horizontal="right"/>
    </xf>
    <xf numFmtId="164" fontId="45" fillId="35" borderId="13" xfId="0" applyNumberFormat="1" applyFont="1" applyFill="1" applyBorder="1"/>
    <xf numFmtId="164" fontId="46" fillId="35" borderId="13" xfId="0" applyNumberFormat="1" applyFont="1" applyFill="1" applyBorder="1"/>
    <xf numFmtId="0" fontId="18" fillId="0" borderId="12" xfId="0" applyFont="1" applyBorder="1"/>
    <xf numFmtId="164" fontId="45" fillId="35" borderId="11" xfId="0" applyNumberFormat="1" applyFont="1" applyFill="1" applyBorder="1"/>
    <xf numFmtId="0" fontId="18" fillId="0" borderId="10" xfId="0" applyFont="1" applyBorder="1"/>
    <xf numFmtId="164" fontId="44" fillId="34" borderId="0" xfId="0" applyNumberFormat="1" applyFont="1" applyFill="1"/>
    <xf numFmtId="0" fontId="44" fillId="34" borderId="0" xfId="0" applyFont="1" applyFill="1"/>
    <xf numFmtId="164" fontId="18" fillId="38" borderId="0" xfId="0" applyNumberFormat="1" applyFont="1" applyFill="1"/>
    <xf numFmtId="0" fontId="44" fillId="37" borderId="0" xfId="0" applyFont="1" applyFill="1"/>
    <xf numFmtId="0" fontId="44" fillId="39" borderId="12" xfId="0" applyFont="1" applyFill="1" applyBorder="1"/>
    <xf numFmtId="164" fontId="44" fillId="39" borderId="14" xfId="0" applyNumberFormat="1" applyFont="1" applyFill="1" applyBorder="1"/>
    <xf numFmtId="164" fontId="27" fillId="35" borderId="10" xfId="0" applyNumberFormat="1" applyFont="1" applyFill="1" applyBorder="1"/>
    <xf numFmtId="0" fontId="33" fillId="0" borderId="0" xfId="0" applyFont="1"/>
    <xf numFmtId="0" fontId="34" fillId="0" borderId="0" xfId="0" applyFont="1" applyAlignment="1">
      <alignment wrapText="1"/>
    </xf>
    <xf numFmtId="0" fontId="26" fillId="0" borderId="0" xfId="0" applyFont="1"/>
    <xf numFmtId="0" fontId="30" fillId="0" borderId="0" xfId="0" applyFon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D7D32"/>
      <color rgb="FF5B9BD5"/>
      <color rgb="FF29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3795-A218-410D-9B1D-8161C498D19F}">
  <dimension ref="A1:H35"/>
  <sheetViews>
    <sheetView tabSelected="1" workbookViewId="0">
      <selection activeCell="G1" sqref="G1"/>
    </sheetView>
  </sheetViews>
  <sheetFormatPr baseColWidth="10" defaultColWidth="8.83203125" defaultRowHeight="15" x14ac:dyDescent="0.2"/>
  <cols>
    <col min="2" max="2" width="36.6640625" customWidth="1"/>
    <col min="3" max="3" width="22" style="31" customWidth="1"/>
    <col min="5" max="5" width="46" customWidth="1"/>
    <col min="6" max="6" width="18" style="31" customWidth="1"/>
    <col min="7" max="7" width="33.33203125" customWidth="1"/>
    <col min="8" max="8" width="17.83203125" customWidth="1"/>
  </cols>
  <sheetData>
    <row r="1" spans="1:6" ht="25" x14ac:dyDescent="0.25">
      <c r="A1" s="57" t="s">
        <v>0</v>
      </c>
    </row>
    <row r="5" spans="1:6" ht="19" x14ac:dyDescent="0.25">
      <c r="A5" s="9"/>
      <c r="B5" s="10" t="s">
        <v>1</v>
      </c>
      <c r="C5" s="40"/>
      <c r="D5" s="9"/>
      <c r="E5" s="78" t="s">
        <v>2</v>
      </c>
      <c r="F5" s="77" t="s">
        <v>3</v>
      </c>
    </row>
    <row r="6" spans="1:6" ht="19" x14ac:dyDescent="0.25">
      <c r="A6" s="9"/>
      <c r="B6" s="11" t="s">
        <v>4</v>
      </c>
      <c r="C6" s="32"/>
      <c r="D6" s="9"/>
      <c r="E6" s="76" t="s">
        <v>5</v>
      </c>
      <c r="F6" s="75" t="s">
        <v>3</v>
      </c>
    </row>
    <row r="7" spans="1:6" ht="19" x14ac:dyDescent="0.25">
      <c r="A7" s="9"/>
      <c r="B7" s="12" t="s">
        <v>6</v>
      </c>
      <c r="C7" s="33">
        <f>SUM('AWS Estimate'!F9:F18)</f>
        <v>8763.5992000000006</v>
      </c>
      <c r="D7" s="9"/>
      <c r="E7" s="74" t="s">
        <v>7</v>
      </c>
      <c r="F7" s="73">
        <f>SUM('OCI Estimate'!G15:G86)</f>
        <v>5607.4803763419995</v>
      </c>
    </row>
    <row r="8" spans="1:6" ht="19" x14ac:dyDescent="0.25">
      <c r="A8" s="9"/>
      <c r="B8" s="13" t="s">
        <v>8</v>
      </c>
      <c r="C8" s="34">
        <f>('AWS Estimate'!F23)</f>
        <v>1470</v>
      </c>
      <c r="D8" s="9"/>
      <c r="E8" s="72" t="s">
        <v>9</v>
      </c>
      <c r="F8" s="71">
        <f>SUM('OCI Estimate'!G8:G13)</f>
        <v>1628.2</v>
      </c>
    </row>
    <row r="9" spans="1:6" ht="19" x14ac:dyDescent="0.25">
      <c r="A9" s="9"/>
      <c r="B9" s="13" t="s">
        <v>10</v>
      </c>
      <c r="C9" s="34">
        <f>('AWS Estimate'!F22)</f>
        <v>62.5</v>
      </c>
      <c r="D9" s="9"/>
      <c r="E9" s="72" t="s">
        <v>11</v>
      </c>
      <c r="F9" s="71">
        <f>SUM('OCI Estimate'!G92:G96)</f>
        <v>55.685067205000003</v>
      </c>
    </row>
    <row r="10" spans="1:6" ht="19" x14ac:dyDescent="0.25">
      <c r="A10" s="9"/>
      <c r="B10" s="13" t="s">
        <v>12</v>
      </c>
      <c r="C10" s="35">
        <f>('AWS Estimate'!F24)</f>
        <v>33.32</v>
      </c>
      <c r="D10" s="9"/>
      <c r="E10" s="72" t="s">
        <v>13</v>
      </c>
      <c r="F10" s="71">
        <f>SUM('OCI Estimate'!G88:G90)</f>
        <v>8.0907999999999998</v>
      </c>
    </row>
    <row r="11" spans="1:6" ht="19" x14ac:dyDescent="0.25">
      <c r="A11" s="9"/>
      <c r="B11" s="13" t="s">
        <v>14</v>
      </c>
      <c r="C11" s="35">
        <f>('AWS Estimate'!F19)</f>
        <v>23.05</v>
      </c>
      <c r="D11" s="9"/>
      <c r="E11" s="72" t="s">
        <v>15</v>
      </c>
      <c r="F11" s="70">
        <f>SUM('OCI Estimate'!G98:G101)</f>
        <v>59.227999999999994</v>
      </c>
    </row>
    <row r="12" spans="1:6" ht="19" x14ac:dyDescent="0.25">
      <c r="A12" s="9"/>
      <c r="B12" s="13" t="s">
        <v>16</v>
      </c>
      <c r="C12" s="35">
        <f>'AWS Estimate'!F21</f>
        <v>30</v>
      </c>
      <c r="D12" s="9"/>
      <c r="E12" s="72" t="s">
        <v>17</v>
      </c>
      <c r="F12" s="70">
        <f>SUM('OCI Estimate'!G103)</f>
        <v>30</v>
      </c>
    </row>
    <row r="13" spans="1:6" ht="19" x14ac:dyDescent="0.25">
      <c r="A13" s="9"/>
      <c r="B13" s="13" t="s">
        <v>18</v>
      </c>
      <c r="C13" s="38">
        <v>0</v>
      </c>
      <c r="D13" s="9"/>
      <c r="E13" s="72" t="s">
        <v>19</v>
      </c>
      <c r="F13" s="69">
        <v>0</v>
      </c>
    </row>
    <row r="14" spans="1:6" ht="19" x14ac:dyDescent="0.25">
      <c r="A14" s="9"/>
      <c r="B14" s="13" t="s">
        <v>20</v>
      </c>
      <c r="C14" s="38">
        <v>0</v>
      </c>
      <c r="D14" s="9"/>
      <c r="E14" s="72" t="s">
        <v>21</v>
      </c>
      <c r="F14" s="69">
        <v>0</v>
      </c>
    </row>
    <row r="15" spans="1:6" ht="19" hidden="1" x14ac:dyDescent="0.25">
      <c r="A15" s="9"/>
      <c r="B15" s="13"/>
      <c r="C15" s="35"/>
      <c r="D15" s="9"/>
      <c r="E15" s="72" t="s">
        <v>22</v>
      </c>
      <c r="F15" s="69">
        <v>158.1</v>
      </c>
    </row>
    <row r="16" spans="1:6" ht="19" x14ac:dyDescent="0.25">
      <c r="A16" s="9"/>
      <c r="B16" s="13" t="s">
        <v>23</v>
      </c>
      <c r="C16" s="38">
        <v>0</v>
      </c>
      <c r="D16" s="9"/>
      <c r="E16" s="72" t="s">
        <v>24</v>
      </c>
      <c r="F16" s="69">
        <v>0</v>
      </c>
    </row>
    <row r="17" spans="1:8" ht="19" x14ac:dyDescent="0.25">
      <c r="A17" s="9"/>
      <c r="B17" s="13" t="s">
        <v>25</v>
      </c>
      <c r="C17" s="38">
        <v>0</v>
      </c>
      <c r="D17" s="9"/>
      <c r="E17" s="72" t="s">
        <v>26</v>
      </c>
      <c r="F17" s="69">
        <v>0</v>
      </c>
    </row>
    <row r="18" spans="1:8" ht="19" x14ac:dyDescent="0.25">
      <c r="A18" s="9"/>
      <c r="B18" s="13" t="s">
        <v>27</v>
      </c>
      <c r="C18" s="38">
        <f>'AWS Estimate'!F26</f>
        <v>478.96</v>
      </c>
      <c r="D18" s="9"/>
      <c r="E18" s="72" t="s">
        <v>22</v>
      </c>
      <c r="F18" s="69">
        <f>'OCI Estimate'!G105</f>
        <v>310.25</v>
      </c>
    </row>
    <row r="19" spans="1:8" ht="19" x14ac:dyDescent="0.25">
      <c r="A19" s="9"/>
      <c r="B19" s="13" t="s">
        <v>28</v>
      </c>
      <c r="C19" s="38">
        <v>0</v>
      </c>
      <c r="D19" s="9"/>
      <c r="E19" s="72" t="s">
        <v>29</v>
      </c>
      <c r="F19" s="69">
        <v>0</v>
      </c>
    </row>
    <row r="20" spans="1:8" ht="19" x14ac:dyDescent="0.25">
      <c r="A20" s="9"/>
      <c r="B20" s="14" t="s">
        <v>30</v>
      </c>
      <c r="C20" s="36" t="s">
        <v>31</v>
      </c>
      <c r="D20" s="9"/>
      <c r="E20" s="72" t="s">
        <v>32</v>
      </c>
      <c r="F20" s="69">
        <v>0</v>
      </c>
    </row>
    <row r="21" spans="1:8" ht="19" x14ac:dyDescent="0.25">
      <c r="A21" s="9"/>
      <c r="B21" s="41" t="s">
        <v>33</v>
      </c>
      <c r="C21" s="42">
        <f>SUM(C7:C13,C18)</f>
        <v>10861.429199999999</v>
      </c>
      <c r="D21" s="9"/>
      <c r="E21" s="74" t="s">
        <v>34</v>
      </c>
      <c r="F21" s="69">
        <v>0</v>
      </c>
    </row>
    <row r="22" spans="1:8" ht="19" x14ac:dyDescent="0.25">
      <c r="A22" s="9"/>
      <c r="B22" s="41" t="s">
        <v>35</v>
      </c>
      <c r="C22" s="43">
        <f>PRODUCT(C21*12)</f>
        <v>130337.15039999998</v>
      </c>
      <c r="D22" s="9"/>
      <c r="E22" s="68" t="s">
        <v>30</v>
      </c>
      <c r="F22" s="67" t="s">
        <v>31</v>
      </c>
    </row>
    <row r="23" spans="1:8" ht="19" x14ac:dyDescent="0.25">
      <c r="A23" s="9"/>
      <c r="B23" s="41" t="s">
        <v>36</v>
      </c>
      <c r="C23" s="43">
        <f>PRODUCT(C22*3)</f>
        <v>391011.45119999995</v>
      </c>
      <c r="D23" s="9"/>
      <c r="E23" s="66" t="s">
        <v>37</v>
      </c>
      <c r="F23" s="65">
        <f>SUM(F7:F12,F18)</f>
        <v>7698.9342435469998</v>
      </c>
      <c r="G23" s="63" t="s">
        <v>38</v>
      </c>
      <c r="H23" s="48">
        <f>C21-F23</f>
        <v>3162.4949564529988</v>
      </c>
    </row>
    <row r="24" spans="1:8" ht="19" x14ac:dyDescent="0.25">
      <c r="A24" s="9"/>
      <c r="B24" s="41" t="s">
        <v>39</v>
      </c>
      <c r="C24" s="43">
        <f>PRODUCT(C22*5)</f>
        <v>651685.75199999986</v>
      </c>
      <c r="D24" s="9"/>
      <c r="E24" s="66" t="s">
        <v>40</v>
      </c>
      <c r="F24" s="64">
        <f>PRODUCT(F23*12)</f>
        <v>92387.210922564002</v>
      </c>
      <c r="G24" s="63" t="s">
        <v>41</v>
      </c>
      <c r="H24" s="48">
        <f>C22-F24</f>
        <v>37949.939477435983</v>
      </c>
    </row>
    <row r="25" spans="1:8" ht="19" x14ac:dyDescent="0.25">
      <c r="A25" s="9"/>
      <c r="B25" s="15"/>
      <c r="C25" s="49"/>
      <c r="D25" s="9"/>
      <c r="E25" s="66" t="s">
        <v>42</v>
      </c>
      <c r="F25" s="64">
        <f>PRODUCT(F24*3)</f>
        <v>277161.63276769198</v>
      </c>
      <c r="G25" s="63" t="s">
        <v>43</v>
      </c>
      <c r="H25" s="48">
        <f>C23-F25</f>
        <v>113849.81843230798</v>
      </c>
    </row>
    <row r="26" spans="1:8" ht="19" x14ac:dyDescent="0.25">
      <c r="A26" s="9"/>
      <c r="B26" s="15"/>
      <c r="C26" s="49"/>
      <c r="D26" s="9"/>
      <c r="E26" s="66" t="s">
        <v>44</v>
      </c>
      <c r="F26" s="64">
        <f>PRODUCT(F24*5)</f>
        <v>461936.05461282004</v>
      </c>
      <c r="G26" s="63" t="s">
        <v>45</v>
      </c>
      <c r="H26" s="48">
        <f>C24-F26</f>
        <v>189749.69738717983</v>
      </c>
    </row>
    <row r="27" spans="1:8" x14ac:dyDescent="0.2">
      <c r="A27" s="9"/>
      <c r="B27" s="9"/>
      <c r="C27" s="37"/>
      <c r="D27" s="9"/>
    </row>
    <row r="28" spans="1:8" x14ac:dyDescent="0.2">
      <c r="A28" s="9"/>
      <c r="C28" s="37"/>
      <c r="D28" s="9"/>
    </row>
    <row r="29" spans="1:8" x14ac:dyDescent="0.2">
      <c r="A29" s="9"/>
      <c r="D29" s="9"/>
    </row>
    <row r="30" spans="1:8" ht="19" x14ac:dyDescent="0.25">
      <c r="A30" s="9"/>
      <c r="D30" s="15"/>
    </row>
    <row r="34" spans="1:1" x14ac:dyDescent="0.2">
      <c r="A34" s="50" t="s">
        <v>46</v>
      </c>
    </row>
    <row r="35" spans="1:1" x14ac:dyDescent="0.2">
      <c r="A35"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70FA-5FF1-42E2-9874-7C581F783884}">
  <dimension ref="A1:F53"/>
  <sheetViews>
    <sheetView workbookViewId="0">
      <selection activeCell="F14" sqref="F14"/>
    </sheetView>
  </sheetViews>
  <sheetFormatPr baseColWidth="10" defaultColWidth="8.83203125" defaultRowHeight="15" x14ac:dyDescent="0.2"/>
  <cols>
    <col min="2" max="2" width="36.6640625" customWidth="1"/>
    <col min="3" max="3" width="22" style="31" customWidth="1"/>
    <col min="5" max="5" width="46" customWidth="1"/>
    <col min="6" max="6" width="18" style="31" customWidth="1"/>
  </cols>
  <sheetData>
    <row r="1" spans="1:6" ht="25" x14ac:dyDescent="0.25">
      <c r="A1" s="57" t="s">
        <v>0</v>
      </c>
    </row>
    <row r="2" spans="1:6" ht="18" x14ac:dyDescent="0.2">
      <c r="A2" s="58" t="s">
        <v>48</v>
      </c>
    </row>
    <row r="5" spans="1:6" ht="19" x14ac:dyDescent="0.25">
      <c r="B5" s="10" t="s">
        <v>1</v>
      </c>
      <c r="C5" s="40"/>
      <c r="D5" s="9"/>
      <c r="E5" s="29" t="s">
        <v>2</v>
      </c>
      <c r="F5" s="39" t="s">
        <v>3</v>
      </c>
    </row>
    <row r="6" spans="1:6" ht="19" x14ac:dyDescent="0.25">
      <c r="B6" s="11" t="s">
        <v>4</v>
      </c>
      <c r="C6" s="32"/>
      <c r="D6" s="9"/>
      <c r="E6" s="11" t="s">
        <v>5</v>
      </c>
      <c r="F6" s="32" t="s">
        <v>3</v>
      </c>
    </row>
    <row r="7" spans="1:6" ht="19" x14ac:dyDescent="0.25">
      <c r="B7" s="12" t="s">
        <v>6</v>
      </c>
      <c r="C7" s="33">
        <f>SUM(C35,'Product Breakdown'!C7)</f>
        <v>13145.398800000001</v>
      </c>
      <c r="D7" s="9"/>
      <c r="E7" s="12" t="s">
        <v>49</v>
      </c>
      <c r="F7" s="33">
        <f>SUM(F35,'Product Breakdown'!F7)</f>
        <v>8411.2205645129998</v>
      </c>
    </row>
    <row r="8" spans="1:6" ht="19" x14ac:dyDescent="0.25">
      <c r="B8" s="13" t="s">
        <v>8</v>
      </c>
      <c r="C8" s="34">
        <f>SUM(C36,'Product Breakdown'!C8)</f>
        <v>2205</v>
      </c>
      <c r="D8" s="9"/>
      <c r="E8" s="13" t="s">
        <v>9</v>
      </c>
      <c r="F8" s="34">
        <f>SUM(F36,'Product Breakdown'!F8)</f>
        <v>2442.3000000000002</v>
      </c>
    </row>
    <row r="9" spans="1:6" ht="19" x14ac:dyDescent="0.25">
      <c r="B9" s="13" t="s">
        <v>10</v>
      </c>
      <c r="C9" s="34">
        <f>SUM(C37,'Product Breakdown'!C9)</f>
        <v>93.75</v>
      </c>
      <c r="D9" s="9"/>
      <c r="E9" s="13" t="s">
        <v>11</v>
      </c>
      <c r="F9" s="34">
        <f>SUM(F37,'Product Breakdown'!F9)</f>
        <v>83.527600807500008</v>
      </c>
    </row>
    <row r="10" spans="1:6" ht="19" x14ac:dyDescent="0.25">
      <c r="B10" s="13" t="s">
        <v>12</v>
      </c>
      <c r="C10" s="35">
        <f>SUM(C38,'Product Breakdown'!C10)</f>
        <v>49.980000000000004</v>
      </c>
      <c r="D10" s="9"/>
      <c r="E10" s="13" t="s">
        <v>13</v>
      </c>
      <c r="F10" s="34">
        <f>SUM(F38,'Product Breakdown'!F10)</f>
        <v>12.136199999999999</v>
      </c>
    </row>
    <row r="11" spans="1:6" ht="19" x14ac:dyDescent="0.25">
      <c r="B11" s="13" t="s">
        <v>14</v>
      </c>
      <c r="C11" s="35">
        <f>SUM(C39,'Product Breakdown'!C11)</f>
        <v>34.575000000000003</v>
      </c>
      <c r="D11" s="9"/>
      <c r="E11" s="13" t="s">
        <v>15</v>
      </c>
      <c r="F11" s="35">
        <f>SUM(F39,'Product Breakdown'!F11)</f>
        <v>88.841999999999985</v>
      </c>
    </row>
    <row r="12" spans="1:6" ht="19" x14ac:dyDescent="0.25">
      <c r="B12" s="13" t="s">
        <v>16</v>
      </c>
      <c r="C12" s="35">
        <f>SUM(C40,'Product Breakdown'!C12)</f>
        <v>45</v>
      </c>
      <c r="D12" s="9"/>
      <c r="E12" s="13" t="s">
        <v>17</v>
      </c>
      <c r="F12" s="35">
        <f>SUM(F40,'Product Breakdown'!F12)</f>
        <v>45</v>
      </c>
    </row>
    <row r="13" spans="1:6" ht="19" x14ac:dyDescent="0.25">
      <c r="B13" s="13" t="s">
        <v>18</v>
      </c>
      <c r="C13" s="38">
        <f>SUM(C41,'Product Breakdown'!C13)</f>
        <v>0</v>
      </c>
      <c r="D13" s="9"/>
      <c r="E13" s="13" t="s">
        <v>50</v>
      </c>
      <c r="F13" s="38">
        <v>0</v>
      </c>
    </row>
    <row r="14" spans="1:6" ht="19" x14ac:dyDescent="0.25">
      <c r="B14" s="13" t="s">
        <v>20</v>
      </c>
      <c r="C14" s="38">
        <v>0</v>
      </c>
      <c r="D14" s="9"/>
      <c r="E14" s="13" t="s">
        <v>21</v>
      </c>
      <c r="F14" s="38">
        <v>0</v>
      </c>
    </row>
    <row r="15" spans="1:6" ht="19" x14ac:dyDescent="0.25">
      <c r="B15" s="13" t="s">
        <v>23</v>
      </c>
      <c r="C15" s="81">
        <v>0</v>
      </c>
      <c r="D15" s="9"/>
      <c r="E15" s="13" t="s">
        <v>24</v>
      </c>
      <c r="F15" s="38">
        <v>0</v>
      </c>
    </row>
    <row r="16" spans="1:6" ht="19" x14ac:dyDescent="0.25">
      <c r="B16" s="13" t="s">
        <v>25</v>
      </c>
      <c r="C16" s="81">
        <v>0</v>
      </c>
      <c r="D16" s="9"/>
      <c r="E16" s="13" t="s">
        <v>26</v>
      </c>
      <c r="F16" s="38">
        <v>0</v>
      </c>
    </row>
    <row r="17" spans="1:6" ht="19" x14ac:dyDescent="0.25">
      <c r="B17" s="13" t="s">
        <v>27</v>
      </c>
      <c r="C17" s="38">
        <f>SUM(C45,'Product Breakdown'!C18)</f>
        <v>718.43999999999994</v>
      </c>
      <c r="D17" s="9"/>
      <c r="E17" s="13" t="s">
        <v>22</v>
      </c>
      <c r="F17" s="38">
        <f>SUM(F45,'Product Breakdown'!F18)</f>
        <v>465.375</v>
      </c>
    </row>
    <row r="18" spans="1:6" ht="19" x14ac:dyDescent="0.25">
      <c r="B18" s="13" t="s">
        <v>28</v>
      </c>
      <c r="C18" s="81">
        <v>0</v>
      </c>
      <c r="D18" s="9"/>
      <c r="E18" s="13" t="s">
        <v>29</v>
      </c>
      <c r="F18" s="38">
        <v>0</v>
      </c>
    </row>
    <row r="19" spans="1:6" ht="19" x14ac:dyDescent="0.25">
      <c r="B19" s="14" t="s">
        <v>30</v>
      </c>
      <c r="C19" s="36" t="s">
        <v>31</v>
      </c>
      <c r="D19" s="9"/>
      <c r="E19" s="13" t="s">
        <v>32</v>
      </c>
      <c r="F19" s="38"/>
    </row>
    <row r="20" spans="1:6" ht="19" x14ac:dyDescent="0.25">
      <c r="B20" s="41" t="s">
        <v>33</v>
      </c>
      <c r="C20" s="42">
        <f>SUM(C7:C13,C17)</f>
        <v>16292.143800000002</v>
      </c>
      <c r="D20" s="9"/>
      <c r="E20" s="12" t="s">
        <v>34</v>
      </c>
      <c r="F20" s="38">
        <v>0</v>
      </c>
    </row>
    <row r="21" spans="1:6" ht="19" x14ac:dyDescent="0.25">
      <c r="B21" s="41" t="s">
        <v>35</v>
      </c>
      <c r="C21" s="43">
        <f>PRODUCT(C20*12)</f>
        <v>195505.72560000001</v>
      </c>
      <c r="D21" s="9"/>
      <c r="E21" s="14" t="s">
        <v>30</v>
      </c>
      <c r="F21" s="36" t="s">
        <v>51</v>
      </c>
    </row>
    <row r="22" spans="1:6" ht="19" x14ac:dyDescent="0.25">
      <c r="B22" s="41" t="s">
        <v>36</v>
      </c>
      <c r="C22" s="43">
        <f>PRODUCT(C21*3)</f>
        <v>586517.17680000002</v>
      </c>
      <c r="D22" s="9"/>
      <c r="E22" s="44" t="s">
        <v>37</v>
      </c>
      <c r="F22" s="45">
        <f>SUM(F7:F12,F17)</f>
        <v>11548.401365320502</v>
      </c>
    </row>
    <row r="23" spans="1:6" ht="19" x14ac:dyDescent="0.25">
      <c r="B23" s="41" t="s">
        <v>39</v>
      </c>
      <c r="C23" s="43">
        <f>PRODUCT(C21*5)</f>
        <v>977528.62800000003</v>
      </c>
      <c r="D23" s="9"/>
      <c r="E23" s="44" t="s">
        <v>40</v>
      </c>
      <c r="F23" s="46">
        <f>PRODUCT(F22*12)</f>
        <v>138580.81638384602</v>
      </c>
    </row>
    <row r="24" spans="1:6" ht="19" x14ac:dyDescent="0.25">
      <c r="B24" s="15"/>
      <c r="C24" s="49"/>
      <c r="D24" s="9"/>
      <c r="E24" s="44" t="s">
        <v>42</v>
      </c>
      <c r="F24" s="46">
        <f>PRODUCT(F23*3)</f>
        <v>415742.44915153808</v>
      </c>
    </row>
    <row r="25" spans="1:6" ht="19" x14ac:dyDescent="0.25">
      <c r="B25" s="15"/>
      <c r="C25" s="49"/>
      <c r="D25" s="9"/>
      <c r="E25" s="44" t="s">
        <v>44</v>
      </c>
      <c r="F25" s="46">
        <f>PRODUCT(F23*5)</f>
        <v>692904.08191923006</v>
      </c>
    </row>
    <row r="26" spans="1:6" ht="19" x14ac:dyDescent="0.25">
      <c r="B26" s="9"/>
      <c r="C26" s="37"/>
      <c r="D26" s="9"/>
      <c r="E26" s="47" t="s">
        <v>38</v>
      </c>
      <c r="F26" s="48">
        <f>C20-F22</f>
        <v>4743.7424346794996</v>
      </c>
    </row>
    <row r="27" spans="1:6" ht="19" x14ac:dyDescent="0.25">
      <c r="D27" s="9"/>
      <c r="E27" s="47" t="s">
        <v>41</v>
      </c>
      <c r="F27" s="48">
        <f>C21-F23</f>
        <v>56924.909216153988</v>
      </c>
    </row>
    <row r="28" spans="1:6" ht="19" x14ac:dyDescent="0.25">
      <c r="D28" s="9"/>
      <c r="E28" s="47" t="s">
        <v>43</v>
      </c>
      <c r="F28" s="48">
        <f>C22-F24</f>
        <v>170774.72764846194</v>
      </c>
    </row>
    <row r="29" spans="1:6" ht="19" x14ac:dyDescent="0.25">
      <c r="D29" s="9"/>
      <c r="E29" s="47" t="s">
        <v>45</v>
      </c>
      <c r="F29" s="48">
        <f>C23-F25</f>
        <v>284624.54608076997</v>
      </c>
    </row>
    <row r="30" spans="1:6" x14ac:dyDescent="0.2">
      <c r="D30" s="9"/>
    </row>
    <row r="31" spans="1:6" ht="23" x14ac:dyDescent="0.25">
      <c r="A31" s="56" t="s">
        <v>52</v>
      </c>
    </row>
    <row r="33" spans="1:6" ht="23" x14ac:dyDescent="0.25">
      <c r="A33" s="56"/>
      <c r="B33" s="10" t="s">
        <v>1</v>
      </c>
      <c r="C33" s="40"/>
      <c r="E33" s="29" t="s">
        <v>2</v>
      </c>
      <c r="F33" s="39" t="s">
        <v>3</v>
      </c>
    </row>
    <row r="34" spans="1:6" ht="19" x14ac:dyDescent="0.25">
      <c r="A34" s="9"/>
      <c r="B34" s="11" t="s">
        <v>4</v>
      </c>
      <c r="C34" s="32"/>
      <c r="D34" s="9"/>
      <c r="E34" s="11" t="s">
        <v>5</v>
      </c>
      <c r="F34" s="32" t="s">
        <v>3</v>
      </c>
    </row>
    <row r="35" spans="1:6" ht="19" x14ac:dyDescent="0.25">
      <c r="A35" s="9"/>
      <c r="B35" s="12" t="s">
        <v>6</v>
      </c>
      <c r="C35" s="33">
        <f>'Product Breakdown'!C7/2</f>
        <v>4381.7996000000003</v>
      </c>
      <c r="D35" s="9"/>
      <c r="E35" s="12" t="s">
        <v>49</v>
      </c>
      <c r="F35" s="33">
        <f>('Product Breakdown'!F7/2)</f>
        <v>2803.7401881709998</v>
      </c>
    </row>
    <row r="36" spans="1:6" ht="19" x14ac:dyDescent="0.25">
      <c r="A36" s="9"/>
      <c r="B36" s="13" t="s">
        <v>8</v>
      </c>
      <c r="C36" s="34">
        <f>'Product Breakdown'!C8/2</f>
        <v>735</v>
      </c>
      <c r="D36" s="9"/>
      <c r="E36" s="13" t="s">
        <v>9</v>
      </c>
      <c r="F36" s="34">
        <f>'Product Breakdown'!F8/2</f>
        <v>814.1</v>
      </c>
    </row>
    <row r="37" spans="1:6" ht="19" x14ac:dyDescent="0.25">
      <c r="A37" s="9"/>
      <c r="B37" s="13" t="s">
        <v>10</v>
      </c>
      <c r="C37" s="34">
        <f>'Product Breakdown'!C9/2</f>
        <v>31.25</v>
      </c>
      <c r="D37" s="9"/>
      <c r="E37" s="13" t="s">
        <v>11</v>
      </c>
      <c r="F37" s="34">
        <f>'Product Breakdown'!F9/2</f>
        <v>27.842533602500001</v>
      </c>
    </row>
    <row r="38" spans="1:6" ht="19" x14ac:dyDescent="0.25">
      <c r="A38" s="9"/>
      <c r="B38" s="13" t="s">
        <v>12</v>
      </c>
      <c r="C38" s="35">
        <f>'Product Breakdown'!C10/2</f>
        <v>16.66</v>
      </c>
      <c r="D38" s="9"/>
      <c r="E38" s="13" t="s">
        <v>13</v>
      </c>
      <c r="F38" s="34">
        <f>'Product Breakdown'!F10/2</f>
        <v>4.0453999999999999</v>
      </c>
    </row>
    <row r="39" spans="1:6" ht="19" x14ac:dyDescent="0.25">
      <c r="B39" s="13" t="s">
        <v>14</v>
      </c>
      <c r="C39" s="35">
        <f>('Product Breakdown'!C11/2)</f>
        <v>11.525</v>
      </c>
      <c r="D39" s="9"/>
      <c r="E39" s="13" t="s">
        <v>15</v>
      </c>
      <c r="F39" s="35">
        <f>'Product Breakdown'!F11/2</f>
        <v>29.613999999999997</v>
      </c>
    </row>
    <row r="40" spans="1:6" ht="19" x14ac:dyDescent="0.25">
      <c r="B40" s="13" t="s">
        <v>16</v>
      </c>
      <c r="C40" s="35">
        <f>'Product Breakdown'!C12/2</f>
        <v>15</v>
      </c>
      <c r="D40" s="9"/>
      <c r="E40" s="13" t="s">
        <v>17</v>
      </c>
      <c r="F40" s="35">
        <f>'Product Breakdown'!F12/2</f>
        <v>15</v>
      </c>
    </row>
    <row r="41" spans="1:6" ht="19" x14ac:dyDescent="0.25">
      <c r="B41" s="13" t="s">
        <v>18</v>
      </c>
      <c r="C41" s="38">
        <f>'Product Breakdown'!C13/2</f>
        <v>0</v>
      </c>
      <c r="D41" s="9"/>
      <c r="E41" s="13" t="s">
        <v>50</v>
      </c>
      <c r="F41" s="38">
        <v>0</v>
      </c>
    </row>
    <row r="42" spans="1:6" ht="19" x14ac:dyDescent="0.25">
      <c r="B42" s="13" t="s">
        <v>20</v>
      </c>
      <c r="C42" s="38">
        <v>0</v>
      </c>
      <c r="D42" s="9"/>
      <c r="E42" s="13" t="s">
        <v>21</v>
      </c>
      <c r="F42" s="38">
        <v>0</v>
      </c>
    </row>
    <row r="43" spans="1:6" ht="19" x14ac:dyDescent="0.25">
      <c r="B43" s="13" t="s">
        <v>23</v>
      </c>
      <c r="C43" s="38">
        <v>0</v>
      </c>
      <c r="D43" s="9"/>
      <c r="E43" s="13" t="s">
        <v>24</v>
      </c>
      <c r="F43" s="38">
        <v>0</v>
      </c>
    </row>
    <row r="44" spans="1:6" ht="19" x14ac:dyDescent="0.25">
      <c r="B44" s="13" t="s">
        <v>25</v>
      </c>
      <c r="C44" s="38">
        <v>0</v>
      </c>
      <c r="D44" s="9"/>
      <c r="E44" s="13" t="s">
        <v>26</v>
      </c>
      <c r="F44" s="38">
        <v>0</v>
      </c>
    </row>
    <row r="45" spans="1:6" ht="19" x14ac:dyDescent="0.25">
      <c r="B45" s="13" t="s">
        <v>27</v>
      </c>
      <c r="C45" s="38">
        <f>'Product Breakdown'!C18/2</f>
        <v>239.48</v>
      </c>
      <c r="D45" s="9"/>
      <c r="E45" s="13" t="s">
        <v>22</v>
      </c>
      <c r="F45" s="38">
        <f>'Product Breakdown'!F18/2</f>
        <v>155.125</v>
      </c>
    </row>
    <row r="46" spans="1:6" ht="19" x14ac:dyDescent="0.25">
      <c r="B46" s="13" t="s">
        <v>28</v>
      </c>
      <c r="C46" s="38">
        <v>0</v>
      </c>
      <c r="D46" s="9"/>
      <c r="E46" s="13" t="s">
        <v>29</v>
      </c>
      <c r="F46" s="38">
        <v>0</v>
      </c>
    </row>
    <row r="47" spans="1:6" ht="19" x14ac:dyDescent="0.25">
      <c r="B47" s="14" t="s">
        <v>30</v>
      </c>
      <c r="C47" s="36" t="s">
        <v>31</v>
      </c>
      <c r="D47" s="9"/>
      <c r="E47" s="13" t="s">
        <v>32</v>
      </c>
      <c r="F47" s="38">
        <v>0</v>
      </c>
    </row>
    <row r="48" spans="1:6" ht="19" x14ac:dyDescent="0.25">
      <c r="B48" s="41" t="s">
        <v>33</v>
      </c>
      <c r="C48" s="42">
        <f>SUM(C35:C41,C45)</f>
        <v>5430.7145999999993</v>
      </c>
      <c r="D48" s="9"/>
      <c r="E48" s="12" t="s">
        <v>34</v>
      </c>
      <c r="F48" s="38">
        <v>0</v>
      </c>
    </row>
    <row r="49" spans="2:6" ht="19" x14ac:dyDescent="0.25">
      <c r="B49" s="41" t="s">
        <v>35</v>
      </c>
      <c r="C49" s="43">
        <f>PRODUCT(C48*12)</f>
        <v>65168.575199999992</v>
      </c>
      <c r="D49" s="9"/>
      <c r="E49" s="14" t="s">
        <v>30</v>
      </c>
      <c r="F49" s="36" t="s">
        <v>31</v>
      </c>
    </row>
    <row r="50" spans="2:6" ht="19" x14ac:dyDescent="0.25">
      <c r="B50" s="41" t="s">
        <v>36</v>
      </c>
      <c r="C50" s="43">
        <f>PRODUCT(C49*3)</f>
        <v>195505.72559999998</v>
      </c>
      <c r="D50" s="9"/>
      <c r="E50" s="44" t="s">
        <v>37</v>
      </c>
      <c r="F50" s="45">
        <f>SUM(F35:F40,F45)</f>
        <v>3849.4671217734999</v>
      </c>
    </row>
    <row r="51" spans="2:6" ht="19" x14ac:dyDescent="0.25">
      <c r="B51" s="79" t="s">
        <v>39</v>
      </c>
      <c r="C51" s="80">
        <f>PRODUCT(C49*5)</f>
        <v>325842.87599999993</v>
      </c>
      <c r="D51" s="9"/>
      <c r="E51" s="44" t="s">
        <v>40</v>
      </c>
      <c r="F51" s="46">
        <f>PRODUCT(F50*12)</f>
        <v>46193.605461282001</v>
      </c>
    </row>
    <row r="52" spans="2:6" ht="19" x14ac:dyDescent="0.25">
      <c r="B52" s="15"/>
      <c r="C52" s="49"/>
      <c r="D52" s="9"/>
      <c r="E52" s="44" t="s">
        <v>42</v>
      </c>
      <c r="F52" s="46">
        <f>PRODUCT(F51*3)</f>
        <v>138580.81638384599</v>
      </c>
    </row>
    <row r="53" spans="2:6" ht="19" x14ac:dyDescent="0.25">
      <c r="D53" s="9"/>
      <c r="E53" s="66" t="s">
        <v>44</v>
      </c>
      <c r="F53" s="64">
        <f>PRODUCT(F51*5)</f>
        <v>230968.02730641002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39A-50C5-46BC-AA9F-9EBBC35B2330}">
  <dimension ref="A1:I112"/>
  <sheetViews>
    <sheetView workbookViewId="0">
      <selection activeCell="A2" sqref="A2:B2"/>
    </sheetView>
  </sheetViews>
  <sheetFormatPr baseColWidth="10" defaultColWidth="8.83203125" defaultRowHeight="15" x14ac:dyDescent="0.2"/>
  <cols>
    <col min="1" max="1" width="13" customWidth="1"/>
    <col min="2" max="2" width="90" style="8" customWidth="1"/>
    <col min="3" max="5" width="14" customWidth="1"/>
    <col min="6" max="7" width="16" customWidth="1"/>
    <col min="8" max="8" width="30" customWidth="1"/>
    <col min="9" max="9" width="50" customWidth="1"/>
  </cols>
  <sheetData>
    <row r="1" spans="1:9" s="1" customFormat="1" ht="18.75" customHeight="1" x14ac:dyDescent="0.25">
      <c r="A1" s="84" t="s">
        <v>53</v>
      </c>
      <c r="B1" s="84"/>
      <c r="C1" s="18" t="s">
        <v>3</v>
      </c>
      <c r="D1" s="18" t="s">
        <v>3</v>
      </c>
      <c r="E1" s="18" t="s">
        <v>3</v>
      </c>
      <c r="F1" s="18" t="s">
        <v>3</v>
      </c>
      <c r="G1" s="18" t="s">
        <v>3</v>
      </c>
      <c r="H1" s="18"/>
      <c r="I1" s="18"/>
    </row>
    <row r="2" spans="1:9" s="2" customFormat="1" ht="16" x14ac:dyDescent="0.2">
      <c r="A2" s="85" t="s">
        <v>167</v>
      </c>
      <c r="B2" s="85"/>
      <c r="C2" s="19" t="s">
        <v>3</v>
      </c>
      <c r="D2" s="19" t="s">
        <v>3</v>
      </c>
      <c r="E2" s="19" t="s">
        <v>3</v>
      </c>
      <c r="F2" s="19" t="s">
        <v>3</v>
      </c>
      <c r="G2" s="19" t="s">
        <v>3</v>
      </c>
      <c r="H2" s="19"/>
      <c r="I2" s="19"/>
    </row>
    <row r="3" spans="1:9" x14ac:dyDescent="0.2">
      <c r="A3" s="86" t="s">
        <v>54</v>
      </c>
      <c r="B3" s="86"/>
      <c r="C3" s="9" t="s">
        <v>3</v>
      </c>
      <c r="D3" s="9" t="s">
        <v>3</v>
      </c>
      <c r="E3" s="9" t="s">
        <v>3</v>
      </c>
      <c r="F3" s="9" t="s">
        <v>3</v>
      </c>
      <c r="G3" s="9" t="s">
        <v>3</v>
      </c>
      <c r="H3" s="9"/>
      <c r="I3" s="9"/>
    </row>
    <row r="4" spans="1:9" x14ac:dyDescent="0.2">
      <c r="A4" s="86" t="s">
        <v>55</v>
      </c>
      <c r="B4" s="86"/>
      <c r="C4" s="9" t="s">
        <v>3</v>
      </c>
      <c r="D4" s="9" t="s">
        <v>3</v>
      </c>
      <c r="E4" s="9" t="s">
        <v>3</v>
      </c>
      <c r="F4" s="9" t="s">
        <v>3</v>
      </c>
      <c r="G4" s="9" t="s">
        <v>3</v>
      </c>
      <c r="H4" s="9"/>
      <c r="I4" s="9"/>
    </row>
    <row r="5" spans="1:9" x14ac:dyDescent="0.2">
      <c r="A5" s="86" t="s">
        <v>56</v>
      </c>
      <c r="B5" s="86"/>
      <c r="C5" s="9" t="s">
        <v>3</v>
      </c>
      <c r="D5" s="9" t="s">
        <v>3</v>
      </c>
      <c r="E5" s="9" t="s">
        <v>3</v>
      </c>
      <c r="F5" s="9" t="s">
        <v>3</v>
      </c>
      <c r="G5" s="9" t="s">
        <v>3</v>
      </c>
      <c r="H5" s="9"/>
      <c r="I5" s="9"/>
    </row>
    <row r="6" spans="1:9" s="3" customFormat="1" ht="15" customHeight="1" x14ac:dyDescent="0.2">
      <c r="A6" s="20" t="s">
        <v>57</v>
      </c>
      <c r="B6" s="20" t="s">
        <v>58</v>
      </c>
      <c r="C6" s="20" t="s">
        <v>59</v>
      </c>
      <c r="D6" s="20" t="s">
        <v>60</v>
      </c>
      <c r="E6" s="20" t="s">
        <v>61</v>
      </c>
      <c r="F6" s="20" t="s">
        <v>62</v>
      </c>
      <c r="G6" s="20" t="s">
        <v>63</v>
      </c>
      <c r="H6" s="20" t="s">
        <v>64</v>
      </c>
      <c r="I6" s="20" t="s">
        <v>65</v>
      </c>
    </row>
    <row r="7" spans="1:9" ht="15" customHeight="1" x14ac:dyDescent="0.2">
      <c r="A7" s="9" t="s">
        <v>3</v>
      </c>
      <c r="B7" s="21" t="s">
        <v>66</v>
      </c>
      <c r="C7" s="9" t="s">
        <v>3</v>
      </c>
      <c r="D7" s="9" t="s">
        <v>3</v>
      </c>
      <c r="E7" s="9" t="s">
        <v>3</v>
      </c>
      <c r="F7" s="9" t="s">
        <v>3</v>
      </c>
      <c r="G7" s="9" t="s">
        <v>3</v>
      </c>
      <c r="H7" s="9"/>
      <c r="I7" s="9"/>
    </row>
    <row r="8" spans="1:9" ht="15" customHeight="1" x14ac:dyDescent="0.2">
      <c r="A8" s="9" t="s">
        <v>67</v>
      </c>
      <c r="B8" s="22" t="s">
        <v>68</v>
      </c>
      <c r="C8" s="9">
        <v>10</v>
      </c>
      <c r="D8" s="9">
        <v>1</v>
      </c>
      <c r="E8" s="9">
        <v>1</v>
      </c>
      <c r="F8" s="9">
        <v>20</v>
      </c>
      <c r="G8" s="9">
        <v>200</v>
      </c>
      <c r="H8" s="9"/>
      <c r="I8" s="9"/>
    </row>
    <row r="9" spans="1:9" ht="15" customHeight="1" x14ac:dyDescent="0.2">
      <c r="A9" s="9" t="s">
        <v>69</v>
      </c>
      <c r="B9" s="22" t="s">
        <v>70</v>
      </c>
      <c r="C9" s="9">
        <v>4</v>
      </c>
      <c r="D9" s="9">
        <v>10</v>
      </c>
      <c r="E9" s="9">
        <v>730</v>
      </c>
      <c r="F9" s="9">
        <v>0.03</v>
      </c>
      <c r="G9" s="9">
        <v>876</v>
      </c>
      <c r="H9" s="9"/>
      <c r="I9" s="9"/>
    </row>
    <row r="10" spans="1:9" s="4" customFormat="1" ht="12.75" customHeight="1" x14ac:dyDescent="0.2">
      <c r="A10" s="9" t="s">
        <v>71</v>
      </c>
      <c r="B10" s="22" t="s">
        <v>72</v>
      </c>
      <c r="C10" s="9">
        <v>32</v>
      </c>
      <c r="D10" s="9">
        <v>10</v>
      </c>
      <c r="E10" s="9">
        <v>730</v>
      </c>
      <c r="F10" s="9">
        <v>2E-3</v>
      </c>
      <c r="G10" s="9">
        <v>467.2</v>
      </c>
      <c r="H10" s="9"/>
      <c r="I10" s="9"/>
    </row>
    <row r="11" spans="1:9" ht="15" customHeight="1" x14ac:dyDescent="0.2">
      <c r="A11" s="21" t="s">
        <v>3</v>
      </c>
      <c r="B11" s="21" t="s">
        <v>73</v>
      </c>
      <c r="C11" s="21" t="s">
        <v>3</v>
      </c>
      <c r="D11" s="21" t="s">
        <v>3</v>
      </c>
      <c r="E11" s="21" t="s">
        <v>3</v>
      </c>
      <c r="F11" s="21" t="s">
        <v>3</v>
      </c>
      <c r="G11" s="21" t="s">
        <v>3</v>
      </c>
      <c r="H11" s="21"/>
      <c r="I11" s="21"/>
    </row>
    <row r="12" spans="1:9" ht="15" customHeight="1" x14ac:dyDescent="0.2">
      <c r="A12" s="9" t="s">
        <v>74</v>
      </c>
      <c r="B12" s="22" t="s">
        <v>75</v>
      </c>
      <c r="C12" s="9">
        <v>200</v>
      </c>
      <c r="D12" s="9">
        <v>10</v>
      </c>
      <c r="E12" s="9">
        <v>1</v>
      </c>
      <c r="F12" s="9">
        <v>2.5499999999999998E-2</v>
      </c>
      <c r="G12" s="9">
        <v>51</v>
      </c>
      <c r="H12" s="9"/>
      <c r="I12" s="9"/>
    </row>
    <row r="13" spans="1:9" ht="15" customHeight="1" x14ac:dyDescent="0.2">
      <c r="A13" s="9" t="s">
        <v>76</v>
      </c>
      <c r="B13" s="22" t="s">
        <v>77</v>
      </c>
      <c r="C13" s="9">
        <v>2000</v>
      </c>
      <c r="D13" s="9">
        <v>10</v>
      </c>
      <c r="E13" s="9">
        <v>1</v>
      </c>
      <c r="F13" s="9">
        <v>1.6999999999999999E-3</v>
      </c>
      <c r="G13" s="9">
        <v>34</v>
      </c>
      <c r="H13" s="9"/>
      <c r="I13" s="9"/>
    </row>
    <row r="14" spans="1:9" ht="15" customHeight="1" x14ac:dyDescent="0.2">
      <c r="A14" s="9" t="s">
        <v>3</v>
      </c>
      <c r="B14" s="21" t="s">
        <v>78</v>
      </c>
      <c r="C14" s="9" t="s">
        <v>3</v>
      </c>
      <c r="D14" s="9" t="s">
        <v>3</v>
      </c>
      <c r="E14" s="9" t="s">
        <v>3</v>
      </c>
      <c r="F14" s="9" t="s">
        <v>3</v>
      </c>
      <c r="G14" s="9" t="s">
        <v>3</v>
      </c>
      <c r="H14" s="9"/>
      <c r="I14" s="9"/>
    </row>
    <row r="15" spans="1:9" ht="15" customHeight="1" x14ac:dyDescent="0.2">
      <c r="A15" s="9" t="s">
        <v>79</v>
      </c>
      <c r="B15" s="22" t="s">
        <v>80</v>
      </c>
      <c r="C15" s="9">
        <v>1</v>
      </c>
      <c r="D15" s="9">
        <v>2</v>
      </c>
      <c r="E15" s="9">
        <v>730</v>
      </c>
      <c r="F15" s="9">
        <v>0.03</v>
      </c>
      <c r="G15" s="9">
        <v>43.8</v>
      </c>
      <c r="H15" s="9"/>
      <c r="I15" s="9"/>
    </row>
    <row r="16" spans="1:9" ht="15" customHeight="1" x14ac:dyDescent="0.2">
      <c r="A16" s="9" t="s">
        <v>81</v>
      </c>
      <c r="B16" s="22" t="s">
        <v>82</v>
      </c>
      <c r="C16" s="9">
        <v>4</v>
      </c>
      <c r="D16" s="9">
        <v>2</v>
      </c>
      <c r="E16" s="9">
        <v>730</v>
      </c>
      <c r="F16" s="9">
        <v>2E-3</v>
      </c>
      <c r="G16" s="9">
        <v>11.68</v>
      </c>
      <c r="H16" s="9"/>
      <c r="I16" s="9"/>
    </row>
    <row r="17" spans="1:9" ht="15" customHeight="1" x14ac:dyDescent="0.2">
      <c r="A17" s="21" t="s">
        <v>3</v>
      </c>
      <c r="B17" s="21" t="s">
        <v>73</v>
      </c>
      <c r="C17" s="21" t="s">
        <v>3</v>
      </c>
      <c r="D17" s="21" t="s">
        <v>3</v>
      </c>
      <c r="E17" s="21" t="s">
        <v>3</v>
      </c>
      <c r="F17" s="21" t="s">
        <v>3</v>
      </c>
      <c r="G17" s="21" t="s">
        <v>3</v>
      </c>
      <c r="H17" s="21"/>
      <c r="I17" s="21"/>
    </row>
    <row r="18" spans="1:9" ht="15" customHeight="1" x14ac:dyDescent="0.2">
      <c r="A18" s="9" t="s">
        <v>74</v>
      </c>
      <c r="B18" s="22" t="s">
        <v>75</v>
      </c>
      <c r="C18" s="9">
        <v>98.118279569999999</v>
      </c>
      <c r="D18" s="9">
        <v>2</v>
      </c>
      <c r="E18" s="9">
        <v>1</v>
      </c>
      <c r="F18" s="9">
        <v>2.5499999999999998E-2</v>
      </c>
      <c r="G18" s="9">
        <v>5.0040322579999996</v>
      </c>
      <c r="H18" s="9"/>
      <c r="I18" s="9"/>
    </row>
    <row r="19" spans="1:9" ht="15" customHeight="1" x14ac:dyDescent="0.2">
      <c r="A19" s="9" t="s">
        <v>76</v>
      </c>
      <c r="B19" s="22" t="s">
        <v>77</v>
      </c>
      <c r="C19" s="9">
        <v>981.18279570000004</v>
      </c>
      <c r="D19" s="9">
        <v>2</v>
      </c>
      <c r="E19" s="9">
        <v>1</v>
      </c>
      <c r="F19" s="9">
        <v>1.6999999999999999E-3</v>
      </c>
      <c r="G19" s="9">
        <v>3.3360215050000002</v>
      </c>
      <c r="H19" s="9"/>
      <c r="I19" s="9"/>
    </row>
    <row r="20" spans="1:9" ht="15" customHeight="1" x14ac:dyDescent="0.2">
      <c r="A20" s="9" t="s">
        <v>83</v>
      </c>
      <c r="B20" s="22" t="s">
        <v>84</v>
      </c>
      <c r="C20" s="9">
        <v>1</v>
      </c>
      <c r="D20" s="9">
        <v>2</v>
      </c>
      <c r="E20" s="9">
        <v>730</v>
      </c>
      <c r="F20" s="9">
        <v>9.1999999999999998E-2</v>
      </c>
      <c r="G20" s="9">
        <v>134.32</v>
      </c>
      <c r="H20" s="9"/>
      <c r="I20" s="9"/>
    </row>
    <row r="21" spans="1:9" ht="15" customHeight="1" x14ac:dyDescent="0.2">
      <c r="A21" s="9" t="s">
        <v>3</v>
      </c>
      <c r="B21" s="21" t="s">
        <v>85</v>
      </c>
      <c r="C21" s="9" t="s">
        <v>3</v>
      </c>
      <c r="D21" s="9" t="s">
        <v>3</v>
      </c>
      <c r="E21" s="9" t="s">
        <v>3</v>
      </c>
      <c r="F21" s="9" t="s">
        <v>3</v>
      </c>
      <c r="G21" s="9" t="s">
        <v>3</v>
      </c>
      <c r="H21" s="9"/>
      <c r="I21" s="9"/>
    </row>
    <row r="22" spans="1:9" ht="15" customHeight="1" x14ac:dyDescent="0.2">
      <c r="A22" s="9" t="s">
        <v>79</v>
      </c>
      <c r="B22" s="22" t="s">
        <v>80</v>
      </c>
      <c r="C22" s="9">
        <v>2</v>
      </c>
      <c r="D22" s="9">
        <v>1</v>
      </c>
      <c r="E22" s="9">
        <v>730</v>
      </c>
      <c r="F22" s="9">
        <v>0.03</v>
      </c>
      <c r="G22" s="9">
        <v>43.8</v>
      </c>
      <c r="H22" s="9"/>
      <c r="I22" s="9"/>
    </row>
    <row r="23" spans="1:9" ht="15" customHeight="1" x14ac:dyDescent="0.2">
      <c r="A23" s="9" t="s">
        <v>81</v>
      </c>
      <c r="B23" s="22" t="s">
        <v>82</v>
      </c>
      <c r="C23" s="9">
        <v>16</v>
      </c>
      <c r="D23" s="9">
        <v>1</v>
      </c>
      <c r="E23" s="9">
        <v>730</v>
      </c>
      <c r="F23" s="9">
        <v>2E-3</v>
      </c>
      <c r="G23" s="9">
        <v>23.36</v>
      </c>
      <c r="H23" s="9"/>
      <c r="I23" s="9"/>
    </row>
    <row r="24" spans="1:9" s="4" customFormat="1" ht="12.75" customHeight="1" x14ac:dyDescent="0.2">
      <c r="A24" s="21" t="s">
        <v>3</v>
      </c>
      <c r="B24" s="21" t="s">
        <v>73</v>
      </c>
      <c r="C24" s="21" t="s">
        <v>3</v>
      </c>
      <c r="D24" s="21" t="s">
        <v>3</v>
      </c>
      <c r="E24" s="21" t="s">
        <v>3</v>
      </c>
      <c r="F24" s="21" t="s">
        <v>3</v>
      </c>
      <c r="G24" s="21" t="s">
        <v>3</v>
      </c>
      <c r="H24" s="21"/>
      <c r="I24" s="21"/>
    </row>
    <row r="25" spans="1:9" ht="15" customHeight="1" x14ac:dyDescent="0.2">
      <c r="A25" s="9" t="s">
        <v>74</v>
      </c>
      <c r="B25" s="22" t="s">
        <v>75</v>
      </c>
      <c r="C25" s="9">
        <v>98.118279569999999</v>
      </c>
      <c r="D25" s="9">
        <v>1</v>
      </c>
      <c r="E25" s="9">
        <v>1</v>
      </c>
      <c r="F25" s="9">
        <v>2.5499999999999998E-2</v>
      </c>
      <c r="G25" s="9">
        <v>2.5020161289999998</v>
      </c>
      <c r="H25" s="9"/>
      <c r="I25" s="9"/>
    </row>
    <row r="26" spans="1:9" ht="15" customHeight="1" x14ac:dyDescent="0.2">
      <c r="A26" s="9" t="s">
        <v>76</v>
      </c>
      <c r="B26" s="22" t="s">
        <v>77</v>
      </c>
      <c r="C26" s="9">
        <v>981.18279570000004</v>
      </c>
      <c r="D26" s="9">
        <v>1</v>
      </c>
      <c r="E26" s="9">
        <v>1</v>
      </c>
      <c r="F26" s="9">
        <v>1.6999999999999999E-3</v>
      </c>
      <c r="G26" s="9">
        <v>1.6680107529999999</v>
      </c>
      <c r="H26" s="9"/>
      <c r="I26" s="9"/>
    </row>
    <row r="27" spans="1:9" ht="15" customHeight="1" x14ac:dyDescent="0.2">
      <c r="A27" s="9" t="s">
        <v>83</v>
      </c>
      <c r="B27" s="22" t="s">
        <v>84</v>
      </c>
      <c r="C27" s="9">
        <v>2</v>
      </c>
      <c r="D27" s="9">
        <v>1</v>
      </c>
      <c r="E27" s="9">
        <v>730</v>
      </c>
      <c r="F27" s="9">
        <v>9.1999999999999998E-2</v>
      </c>
      <c r="G27" s="9">
        <v>134.32</v>
      </c>
      <c r="H27" s="9"/>
      <c r="I27" s="9"/>
    </row>
    <row r="28" spans="1:9" ht="15" customHeight="1" x14ac:dyDescent="0.2">
      <c r="A28" s="9" t="s">
        <v>3</v>
      </c>
      <c r="B28" s="21" t="s">
        <v>86</v>
      </c>
      <c r="C28" s="9" t="s">
        <v>3</v>
      </c>
      <c r="D28" s="9" t="s">
        <v>3</v>
      </c>
      <c r="E28" s="9" t="s">
        <v>3</v>
      </c>
      <c r="F28" s="9" t="s">
        <v>3</v>
      </c>
      <c r="G28" s="9" t="s">
        <v>3</v>
      </c>
      <c r="H28" s="9"/>
      <c r="I28" s="9"/>
    </row>
    <row r="29" spans="1:9" ht="15" customHeight="1" x14ac:dyDescent="0.2">
      <c r="A29" s="9" t="s">
        <v>79</v>
      </c>
      <c r="B29" s="22" t="s">
        <v>80</v>
      </c>
      <c r="C29" s="9">
        <v>2</v>
      </c>
      <c r="D29" s="9">
        <v>2</v>
      </c>
      <c r="E29" s="9">
        <v>730</v>
      </c>
      <c r="F29" s="9">
        <v>0.03</v>
      </c>
      <c r="G29" s="9">
        <v>87.6</v>
      </c>
      <c r="H29" s="9"/>
      <c r="I29" s="9"/>
    </row>
    <row r="30" spans="1:9" s="4" customFormat="1" ht="12.75" customHeight="1" x14ac:dyDescent="0.2">
      <c r="A30" s="9" t="s">
        <v>81</v>
      </c>
      <c r="B30" s="22" t="s">
        <v>82</v>
      </c>
      <c r="C30" s="9">
        <v>16</v>
      </c>
      <c r="D30" s="9">
        <v>2</v>
      </c>
      <c r="E30" s="9">
        <v>730</v>
      </c>
      <c r="F30" s="9">
        <v>2E-3</v>
      </c>
      <c r="G30" s="9">
        <v>46.72</v>
      </c>
      <c r="H30" s="9"/>
      <c r="I30" s="9"/>
    </row>
    <row r="31" spans="1:9" ht="15" customHeight="1" x14ac:dyDescent="0.2">
      <c r="A31" s="21" t="s">
        <v>3</v>
      </c>
      <c r="B31" s="21" t="s">
        <v>73</v>
      </c>
      <c r="C31" s="21" t="s">
        <v>3</v>
      </c>
      <c r="D31" s="21" t="s">
        <v>3</v>
      </c>
      <c r="E31" s="21" t="s">
        <v>3</v>
      </c>
      <c r="F31" s="21" t="s">
        <v>3</v>
      </c>
      <c r="G31" s="21" t="s">
        <v>3</v>
      </c>
      <c r="H31" s="21"/>
      <c r="I31" s="21"/>
    </row>
    <row r="32" spans="1:9" ht="15" customHeight="1" x14ac:dyDescent="0.2">
      <c r="A32" s="9" t="s">
        <v>74</v>
      </c>
      <c r="B32" s="22" t="s">
        <v>75</v>
      </c>
      <c r="C32" s="9">
        <v>98.118279569999999</v>
      </c>
      <c r="D32" s="9">
        <v>2</v>
      </c>
      <c r="E32" s="9">
        <v>1</v>
      </c>
      <c r="F32" s="9">
        <v>2.5499999999999998E-2</v>
      </c>
      <c r="G32" s="9">
        <v>5.0040322579999996</v>
      </c>
      <c r="H32" s="9"/>
      <c r="I32" s="9"/>
    </row>
    <row r="33" spans="1:9" ht="15" customHeight="1" x14ac:dyDescent="0.2">
      <c r="A33" s="9" t="s">
        <v>76</v>
      </c>
      <c r="B33" s="22" t="s">
        <v>77</v>
      </c>
      <c r="C33" s="9">
        <v>981.18279570000004</v>
      </c>
      <c r="D33" s="9">
        <v>2</v>
      </c>
      <c r="E33" s="9">
        <v>1</v>
      </c>
      <c r="F33" s="9">
        <v>1.6999999999999999E-3</v>
      </c>
      <c r="G33" s="9">
        <v>3.3360215050000002</v>
      </c>
      <c r="H33" s="9"/>
      <c r="I33" s="9"/>
    </row>
    <row r="34" spans="1:9" ht="15" customHeight="1" x14ac:dyDescent="0.2">
      <c r="A34" s="9" t="s">
        <v>83</v>
      </c>
      <c r="B34" s="22" t="s">
        <v>84</v>
      </c>
      <c r="C34" s="9">
        <v>2</v>
      </c>
      <c r="D34" s="9">
        <v>2</v>
      </c>
      <c r="E34" s="9">
        <v>730</v>
      </c>
      <c r="F34" s="9">
        <v>9.1999999999999998E-2</v>
      </c>
      <c r="G34" s="9">
        <v>268.64</v>
      </c>
      <c r="H34" s="9"/>
      <c r="I34" s="9"/>
    </row>
    <row r="35" spans="1:9" ht="15" customHeight="1" x14ac:dyDescent="0.2">
      <c r="A35" s="9" t="s">
        <v>3</v>
      </c>
      <c r="B35" s="21" t="s">
        <v>87</v>
      </c>
      <c r="C35" s="9" t="s">
        <v>3</v>
      </c>
      <c r="D35" s="9" t="s">
        <v>3</v>
      </c>
      <c r="E35" s="9" t="s">
        <v>3</v>
      </c>
      <c r="F35" s="9" t="s">
        <v>3</v>
      </c>
      <c r="G35" s="9" t="s">
        <v>3</v>
      </c>
      <c r="H35" s="9"/>
      <c r="I35" s="9"/>
    </row>
    <row r="36" spans="1:9" ht="15" customHeight="1" x14ac:dyDescent="0.2">
      <c r="A36" s="9" t="s">
        <v>79</v>
      </c>
      <c r="B36" s="22" t="s">
        <v>80</v>
      </c>
      <c r="C36" s="9">
        <v>4</v>
      </c>
      <c r="D36" s="9">
        <v>2</v>
      </c>
      <c r="E36" s="9">
        <v>730</v>
      </c>
      <c r="F36" s="9">
        <v>0.03</v>
      </c>
      <c r="G36" s="9">
        <v>175.2</v>
      </c>
      <c r="H36" s="9"/>
      <c r="I36" s="9"/>
    </row>
    <row r="37" spans="1:9" s="4" customFormat="1" ht="12.75" customHeight="1" x14ac:dyDescent="0.2">
      <c r="A37" s="9" t="s">
        <v>81</v>
      </c>
      <c r="B37" s="22" t="s">
        <v>82</v>
      </c>
      <c r="C37" s="9">
        <v>32</v>
      </c>
      <c r="D37" s="9">
        <v>2</v>
      </c>
      <c r="E37" s="9">
        <v>730</v>
      </c>
      <c r="F37" s="9">
        <v>2E-3</v>
      </c>
      <c r="G37" s="9">
        <v>93.44</v>
      </c>
      <c r="H37" s="9"/>
      <c r="I37" s="9"/>
    </row>
    <row r="38" spans="1:9" ht="15" customHeight="1" x14ac:dyDescent="0.2">
      <c r="A38" s="21" t="s">
        <v>3</v>
      </c>
      <c r="B38" s="21" t="s">
        <v>73</v>
      </c>
      <c r="C38" s="21" t="s">
        <v>3</v>
      </c>
      <c r="D38" s="21" t="s">
        <v>3</v>
      </c>
      <c r="E38" s="21" t="s">
        <v>3</v>
      </c>
      <c r="F38" s="21" t="s">
        <v>3</v>
      </c>
      <c r="G38" s="21" t="s">
        <v>3</v>
      </c>
      <c r="H38" s="21"/>
      <c r="I38" s="21"/>
    </row>
    <row r="39" spans="1:9" ht="15" customHeight="1" x14ac:dyDescent="0.2">
      <c r="A39" s="9" t="s">
        <v>74</v>
      </c>
      <c r="B39" s="22" t="s">
        <v>75</v>
      </c>
      <c r="C39" s="9">
        <v>98.118279569999999</v>
      </c>
      <c r="D39" s="9">
        <v>2</v>
      </c>
      <c r="E39" s="9">
        <v>1</v>
      </c>
      <c r="F39" s="9">
        <v>2.5499999999999998E-2</v>
      </c>
      <c r="G39" s="9">
        <v>5.0040322579999996</v>
      </c>
      <c r="H39" s="9"/>
      <c r="I39" s="9"/>
    </row>
    <row r="40" spans="1:9" ht="15" customHeight="1" x14ac:dyDescent="0.2">
      <c r="A40" s="9" t="s">
        <v>76</v>
      </c>
      <c r="B40" s="22" t="s">
        <v>77</v>
      </c>
      <c r="C40" s="9">
        <v>981.18279570000004</v>
      </c>
      <c r="D40" s="9">
        <v>2</v>
      </c>
      <c r="E40" s="9">
        <v>1</v>
      </c>
      <c r="F40" s="9">
        <v>1.6999999999999999E-3</v>
      </c>
      <c r="G40" s="9">
        <v>3.3360215050000002</v>
      </c>
      <c r="H40" s="9"/>
      <c r="I40" s="9"/>
    </row>
    <row r="41" spans="1:9" ht="15" customHeight="1" x14ac:dyDescent="0.2">
      <c r="A41" s="9" t="s">
        <v>83</v>
      </c>
      <c r="B41" s="22" t="s">
        <v>84</v>
      </c>
      <c r="C41" s="9">
        <v>4</v>
      </c>
      <c r="D41" s="9">
        <v>2</v>
      </c>
      <c r="E41" s="9">
        <v>730</v>
      </c>
      <c r="F41" s="9">
        <v>9.1999999999999998E-2</v>
      </c>
      <c r="G41" s="9">
        <v>537.28</v>
      </c>
      <c r="H41" s="9"/>
      <c r="I41" s="9"/>
    </row>
    <row r="42" spans="1:9" ht="15" customHeight="1" x14ac:dyDescent="0.2">
      <c r="A42" s="9" t="s">
        <v>3</v>
      </c>
      <c r="B42" s="21" t="s">
        <v>88</v>
      </c>
      <c r="C42" s="9" t="s">
        <v>3</v>
      </c>
      <c r="D42" s="9" t="s">
        <v>3</v>
      </c>
      <c r="E42" s="9" t="s">
        <v>3</v>
      </c>
      <c r="F42" s="9" t="s">
        <v>3</v>
      </c>
      <c r="G42" s="9" t="s">
        <v>3</v>
      </c>
      <c r="H42" s="9"/>
      <c r="I42" s="9"/>
    </row>
    <row r="43" spans="1:9" ht="15" customHeight="1" x14ac:dyDescent="0.2">
      <c r="A43" s="9" t="s">
        <v>79</v>
      </c>
      <c r="B43" s="22" t="s">
        <v>80</v>
      </c>
      <c r="C43" s="9">
        <v>4</v>
      </c>
      <c r="D43" s="9">
        <v>2</v>
      </c>
      <c r="E43" s="9">
        <v>730</v>
      </c>
      <c r="F43" s="9">
        <v>0.03</v>
      </c>
      <c r="G43" s="9">
        <v>175.2</v>
      </c>
      <c r="H43" s="9"/>
      <c r="I43" s="9"/>
    </row>
    <row r="44" spans="1:9" s="4" customFormat="1" ht="12.75" customHeight="1" x14ac:dyDescent="0.2">
      <c r="A44" s="9" t="s">
        <v>81</v>
      </c>
      <c r="B44" s="22" t="s">
        <v>82</v>
      </c>
      <c r="C44" s="9">
        <v>32</v>
      </c>
      <c r="D44" s="9">
        <v>2</v>
      </c>
      <c r="E44" s="9">
        <v>730</v>
      </c>
      <c r="F44" s="9">
        <v>2E-3</v>
      </c>
      <c r="G44" s="9">
        <v>93.44</v>
      </c>
      <c r="H44" s="9"/>
      <c r="I44" s="9"/>
    </row>
    <row r="45" spans="1:9" ht="15" customHeight="1" x14ac:dyDescent="0.2">
      <c r="A45" s="21" t="s">
        <v>3</v>
      </c>
      <c r="B45" s="21" t="s">
        <v>73</v>
      </c>
      <c r="C45" s="21" t="s">
        <v>3</v>
      </c>
      <c r="D45" s="21" t="s">
        <v>3</v>
      </c>
      <c r="E45" s="21" t="s">
        <v>3</v>
      </c>
      <c r="F45" s="21" t="s">
        <v>3</v>
      </c>
      <c r="G45" s="21" t="s">
        <v>3</v>
      </c>
      <c r="H45" s="21"/>
      <c r="I45" s="21"/>
    </row>
    <row r="46" spans="1:9" ht="15" customHeight="1" x14ac:dyDescent="0.2">
      <c r="A46" s="9" t="s">
        <v>74</v>
      </c>
      <c r="B46" s="22" t="s">
        <v>75</v>
      </c>
      <c r="C46" s="9">
        <v>98.118279569999999</v>
      </c>
      <c r="D46" s="9">
        <v>2</v>
      </c>
      <c r="E46" s="9">
        <v>1</v>
      </c>
      <c r="F46" s="9">
        <v>2.5499999999999998E-2</v>
      </c>
      <c r="G46" s="9">
        <v>5.0040322579999996</v>
      </c>
      <c r="H46" s="9"/>
      <c r="I46" s="9"/>
    </row>
    <row r="47" spans="1:9" ht="15" customHeight="1" x14ac:dyDescent="0.2">
      <c r="A47" s="9" t="s">
        <v>76</v>
      </c>
      <c r="B47" s="22" t="s">
        <v>77</v>
      </c>
      <c r="C47" s="9">
        <v>981.18279570000004</v>
      </c>
      <c r="D47" s="9">
        <v>2</v>
      </c>
      <c r="E47" s="9">
        <v>1</v>
      </c>
      <c r="F47" s="9">
        <v>1.6999999999999999E-3</v>
      </c>
      <c r="G47" s="9">
        <v>3.3360215050000002</v>
      </c>
      <c r="H47" s="9"/>
      <c r="I47" s="9"/>
    </row>
    <row r="48" spans="1:9" ht="15" customHeight="1" x14ac:dyDescent="0.2">
      <c r="A48" s="9" t="s">
        <v>83</v>
      </c>
      <c r="B48" s="22" t="s">
        <v>84</v>
      </c>
      <c r="C48" s="9">
        <v>4</v>
      </c>
      <c r="D48" s="9">
        <v>2</v>
      </c>
      <c r="E48" s="9">
        <v>730</v>
      </c>
      <c r="F48" s="9">
        <v>9.1999999999999998E-2</v>
      </c>
      <c r="G48" s="9">
        <v>537.28</v>
      </c>
      <c r="H48" s="9"/>
      <c r="I48" s="9"/>
    </row>
    <row r="49" spans="1:9" ht="15" customHeight="1" x14ac:dyDescent="0.2">
      <c r="A49" s="9" t="s">
        <v>3</v>
      </c>
      <c r="B49" s="21" t="s">
        <v>89</v>
      </c>
      <c r="C49" s="9" t="s">
        <v>3</v>
      </c>
      <c r="D49" s="9" t="s">
        <v>3</v>
      </c>
      <c r="E49" s="9" t="s">
        <v>3</v>
      </c>
      <c r="F49" s="9" t="s">
        <v>3</v>
      </c>
      <c r="G49" s="9" t="s">
        <v>3</v>
      </c>
      <c r="H49" s="9"/>
      <c r="I49" s="9"/>
    </row>
    <row r="50" spans="1:9" ht="15" customHeight="1" x14ac:dyDescent="0.2">
      <c r="A50" s="9" t="s">
        <v>79</v>
      </c>
      <c r="B50" s="22" t="s">
        <v>80</v>
      </c>
      <c r="C50" s="9">
        <v>4</v>
      </c>
      <c r="D50" s="9">
        <v>2</v>
      </c>
      <c r="E50" s="9">
        <v>730</v>
      </c>
      <c r="F50" s="9">
        <v>0.03</v>
      </c>
      <c r="G50" s="9">
        <v>175.2</v>
      </c>
      <c r="H50" s="9"/>
      <c r="I50" s="9"/>
    </row>
    <row r="51" spans="1:9" s="4" customFormat="1" ht="12.75" customHeight="1" x14ac:dyDescent="0.2">
      <c r="A51" s="9" t="s">
        <v>81</v>
      </c>
      <c r="B51" s="22" t="s">
        <v>82</v>
      </c>
      <c r="C51" s="9">
        <v>32</v>
      </c>
      <c r="D51" s="9">
        <v>2</v>
      </c>
      <c r="E51" s="9">
        <v>730</v>
      </c>
      <c r="F51" s="9">
        <v>2E-3</v>
      </c>
      <c r="G51" s="59">
        <v>93.44</v>
      </c>
      <c r="H51" s="9"/>
      <c r="I51" s="9"/>
    </row>
    <row r="52" spans="1:9" ht="15" customHeight="1" x14ac:dyDescent="0.2">
      <c r="A52" s="21" t="s">
        <v>3</v>
      </c>
      <c r="B52" s="21" t="s">
        <v>73</v>
      </c>
      <c r="C52" s="21" t="s">
        <v>3</v>
      </c>
      <c r="D52" s="21" t="s">
        <v>3</v>
      </c>
      <c r="E52" s="21" t="s">
        <v>3</v>
      </c>
      <c r="F52" s="21" t="s">
        <v>3</v>
      </c>
      <c r="G52" s="21" t="s">
        <v>3</v>
      </c>
      <c r="H52" s="21"/>
      <c r="I52" s="21"/>
    </row>
    <row r="53" spans="1:9" ht="15" customHeight="1" x14ac:dyDescent="0.2">
      <c r="A53" s="9" t="s">
        <v>74</v>
      </c>
      <c r="B53" s="22" t="s">
        <v>75</v>
      </c>
      <c r="C53" s="9">
        <v>100</v>
      </c>
      <c r="D53" s="9">
        <v>2</v>
      </c>
      <c r="E53" s="9">
        <v>1</v>
      </c>
      <c r="F53" s="9">
        <v>2.5499999999999998E-2</v>
      </c>
      <c r="G53" s="9">
        <v>5.0999999999999996</v>
      </c>
      <c r="H53" s="9"/>
      <c r="I53" s="9"/>
    </row>
    <row r="54" spans="1:9" ht="15" customHeight="1" x14ac:dyDescent="0.2">
      <c r="A54" s="9" t="s">
        <v>76</v>
      </c>
      <c r="B54" s="22" t="s">
        <v>77</v>
      </c>
      <c r="C54" s="9">
        <v>1000</v>
      </c>
      <c r="D54" s="9">
        <v>2</v>
      </c>
      <c r="E54" s="9">
        <v>1</v>
      </c>
      <c r="F54" s="9">
        <v>1.6999999999999999E-3</v>
      </c>
      <c r="G54" s="9">
        <v>3.4</v>
      </c>
      <c r="H54" s="9"/>
      <c r="I54" s="9"/>
    </row>
    <row r="55" spans="1:9" ht="15" customHeight="1" x14ac:dyDescent="0.2">
      <c r="A55" s="9" t="s">
        <v>83</v>
      </c>
      <c r="B55" s="22" t="s">
        <v>84</v>
      </c>
      <c r="C55" s="9">
        <v>4</v>
      </c>
      <c r="D55" s="9">
        <v>2</v>
      </c>
      <c r="E55" s="9">
        <v>730</v>
      </c>
      <c r="F55" s="9">
        <v>9.1999999999999998E-2</v>
      </c>
      <c r="G55" s="59">
        <v>537.28</v>
      </c>
      <c r="H55" s="9"/>
      <c r="I55" s="9"/>
    </row>
    <row r="56" spans="1:9" ht="15" customHeight="1" x14ac:dyDescent="0.2">
      <c r="A56" s="9" t="s">
        <v>3</v>
      </c>
      <c r="B56" s="21" t="s">
        <v>90</v>
      </c>
      <c r="C56" s="9" t="s">
        <v>3</v>
      </c>
      <c r="D56" s="9" t="s">
        <v>3</v>
      </c>
      <c r="E56" s="9" t="s">
        <v>3</v>
      </c>
      <c r="F56" s="9" t="s">
        <v>3</v>
      </c>
      <c r="G56" s="9" t="s">
        <v>3</v>
      </c>
      <c r="H56" s="9"/>
      <c r="I56" s="9"/>
    </row>
    <row r="57" spans="1:9" ht="15" customHeight="1" x14ac:dyDescent="0.2">
      <c r="A57" s="9" t="s">
        <v>79</v>
      </c>
      <c r="B57" s="22" t="s">
        <v>80</v>
      </c>
      <c r="C57" s="9">
        <v>4</v>
      </c>
      <c r="D57" s="9">
        <v>2</v>
      </c>
      <c r="E57" s="9">
        <v>730</v>
      </c>
      <c r="F57" s="9">
        <v>0.03</v>
      </c>
      <c r="G57" s="9">
        <v>175.2</v>
      </c>
      <c r="H57" s="9"/>
      <c r="I57" s="9"/>
    </row>
    <row r="58" spans="1:9" s="4" customFormat="1" ht="12.75" customHeight="1" x14ac:dyDescent="0.2">
      <c r="A58" s="9" t="s">
        <v>81</v>
      </c>
      <c r="B58" s="22" t="s">
        <v>82</v>
      </c>
      <c r="C58" s="9">
        <v>32</v>
      </c>
      <c r="D58" s="9">
        <v>2</v>
      </c>
      <c r="E58" s="9">
        <v>730</v>
      </c>
      <c r="F58" s="9">
        <v>2E-3</v>
      </c>
      <c r="G58" s="59">
        <v>93.44</v>
      </c>
      <c r="H58" s="9"/>
      <c r="I58" s="9"/>
    </row>
    <row r="59" spans="1:9" ht="15" customHeight="1" x14ac:dyDescent="0.2">
      <c r="A59" s="21" t="s">
        <v>3</v>
      </c>
      <c r="B59" s="21" t="s">
        <v>73</v>
      </c>
      <c r="C59" s="21" t="s">
        <v>3</v>
      </c>
      <c r="D59" s="21" t="s">
        <v>3</v>
      </c>
      <c r="E59" s="21" t="s">
        <v>3</v>
      </c>
      <c r="F59" s="21" t="s">
        <v>3</v>
      </c>
      <c r="G59" s="21" t="s">
        <v>3</v>
      </c>
      <c r="H59" s="21"/>
      <c r="I59" s="21"/>
    </row>
    <row r="60" spans="1:9" ht="15" customHeight="1" x14ac:dyDescent="0.2">
      <c r="A60" s="9" t="s">
        <v>74</v>
      </c>
      <c r="B60" s="22" t="s">
        <v>75</v>
      </c>
      <c r="C60" s="9">
        <v>100</v>
      </c>
      <c r="D60" s="9">
        <v>2</v>
      </c>
      <c r="E60" s="9">
        <v>1</v>
      </c>
      <c r="F60" s="9">
        <v>2.5499999999999998E-2</v>
      </c>
      <c r="G60" s="9">
        <v>5.0999999999999996</v>
      </c>
      <c r="H60" s="9"/>
      <c r="I60" s="9"/>
    </row>
    <row r="61" spans="1:9" ht="15" customHeight="1" x14ac:dyDescent="0.2">
      <c r="A61" s="9" t="s">
        <v>76</v>
      </c>
      <c r="B61" s="22" t="s">
        <v>77</v>
      </c>
      <c r="C61" s="9">
        <v>1000</v>
      </c>
      <c r="D61" s="9">
        <v>2</v>
      </c>
      <c r="E61" s="9">
        <v>1</v>
      </c>
      <c r="F61" s="9">
        <v>1.6999999999999999E-3</v>
      </c>
      <c r="G61" s="9">
        <v>3.4</v>
      </c>
      <c r="H61" s="9"/>
      <c r="I61" s="9"/>
    </row>
    <row r="62" spans="1:9" ht="15" customHeight="1" x14ac:dyDescent="0.2">
      <c r="A62" s="9" t="s">
        <v>83</v>
      </c>
      <c r="B62" s="22" t="s">
        <v>84</v>
      </c>
      <c r="C62" s="9">
        <v>4</v>
      </c>
      <c r="D62" s="9">
        <v>2</v>
      </c>
      <c r="E62" s="9">
        <v>730</v>
      </c>
      <c r="F62" s="9">
        <v>9.1999999999999998E-2</v>
      </c>
      <c r="G62" s="59">
        <v>537.28</v>
      </c>
      <c r="H62" s="9"/>
      <c r="I62" s="9"/>
    </row>
    <row r="63" spans="1:9" ht="15" customHeight="1" x14ac:dyDescent="0.2">
      <c r="A63" s="9" t="s">
        <v>3</v>
      </c>
      <c r="B63" s="21" t="s">
        <v>91</v>
      </c>
      <c r="C63" s="9" t="s">
        <v>3</v>
      </c>
      <c r="D63" s="9" t="s">
        <v>3</v>
      </c>
      <c r="E63" s="9" t="s">
        <v>3</v>
      </c>
      <c r="F63" s="9" t="s">
        <v>3</v>
      </c>
      <c r="G63" s="9" t="s">
        <v>3</v>
      </c>
      <c r="H63" s="9"/>
      <c r="I63" s="9"/>
    </row>
    <row r="64" spans="1:9" ht="15" customHeight="1" x14ac:dyDescent="0.2">
      <c r="A64" s="9" t="s">
        <v>79</v>
      </c>
      <c r="B64" s="22" t="s">
        <v>80</v>
      </c>
      <c r="C64" s="9">
        <v>4</v>
      </c>
      <c r="D64" s="9">
        <v>2</v>
      </c>
      <c r="E64" s="9">
        <v>730</v>
      </c>
      <c r="F64" s="9">
        <v>0.03</v>
      </c>
      <c r="G64" s="9">
        <v>175.2</v>
      </c>
      <c r="H64" s="9"/>
      <c r="I64" s="9"/>
    </row>
    <row r="65" spans="1:9" ht="15" customHeight="1" x14ac:dyDescent="0.2">
      <c r="A65" s="9" t="s">
        <v>81</v>
      </c>
      <c r="B65" s="22" t="s">
        <v>82</v>
      </c>
      <c r="C65" s="9">
        <v>32</v>
      </c>
      <c r="D65" s="9">
        <v>2</v>
      </c>
      <c r="E65" s="9">
        <v>730</v>
      </c>
      <c r="F65" s="9">
        <v>2E-3</v>
      </c>
      <c r="G65" s="9">
        <v>93.44</v>
      </c>
      <c r="H65" s="9"/>
      <c r="I65" s="9"/>
    </row>
    <row r="66" spans="1:9" ht="15" customHeight="1" x14ac:dyDescent="0.2">
      <c r="A66" s="21" t="s">
        <v>3</v>
      </c>
      <c r="B66" s="21" t="s">
        <v>73</v>
      </c>
      <c r="C66" s="21" t="s">
        <v>3</v>
      </c>
      <c r="D66" s="21" t="s">
        <v>3</v>
      </c>
      <c r="E66" s="21" t="s">
        <v>3</v>
      </c>
      <c r="F66" s="21" t="s">
        <v>3</v>
      </c>
      <c r="G66" s="21" t="s">
        <v>3</v>
      </c>
      <c r="H66" s="21"/>
      <c r="I66" s="21"/>
    </row>
    <row r="67" spans="1:9" ht="15" customHeight="1" x14ac:dyDescent="0.2">
      <c r="A67" s="9" t="s">
        <v>74</v>
      </c>
      <c r="B67" s="22" t="s">
        <v>75</v>
      </c>
      <c r="C67" s="9">
        <v>98.118279569999999</v>
      </c>
      <c r="D67" s="9">
        <v>2</v>
      </c>
      <c r="E67" s="9">
        <v>1</v>
      </c>
      <c r="F67" s="9">
        <v>2.5499999999999998E-2</v>
      </c>
      <c r="G67" s="9">
        <v>5.0040322579999996</v>
      </c>
      <c r="H67" s="9"/>
      <c r="I67" s="9"/>
    </row>
    <row r="68" spans="1:9" s="4" customFormat="1" ht="12.75" customHeight="1" x14ac:dyDescent="0.2">
      <c r="A68" s="9" t="s">
        <v>76</v>
      </c>
      <c r="B68" s="22" t="s">
        <v>77</v>
      </c>
      <c r="C68" s="9">
        <v>981.18279570000004</v>
      </c>
      <c r="D68" s="9">
        <v>2</v>
      </c>
      <c r="E68" s="9">
        <v>1</v>
      </c>
      <c r="F68" s="9">
        <v>1.6999999999999999E-3</v>
      </c>
      <c r="G68" s="9">
        <v>3.3360215050000002</v>
      </c>
      <c r="H68" s="9"/>
      <c r="I68" s="9"/>
    </row>
    <row r="69" spans="1:9" ht="15" customHeight="1" x14ac:dyDescent="0.2">
      <c r="A69" s="9" t="s">
        <v>83</v>
      </c>
      <c r="B69" s="22" t="s">
        <v>84</v>
      </c>
      <c r="C69" s="9">
        <v>4</v>
      </c>
      <c r="D69" s="9">
        <v>2</v>
      </c>
      <c r="E69" s="9">
        <v>730</v>
      </c>
      <c r="F69" s="9">
        <v>9.1999999999999998E-2</v>
      </c>
      <c r="G69" s="9">
        <v>537.28</v>
      </c>
      <c r="H69" s="9"/>
      <c r="I69" s="9"/>
    </row>
    <row r="70" spans="1:9" ht="15" customHeight="1" x14ac:dyDescent="0.2">
      <c r="A70" s="9" t="s">
        <v>3</v>
      </c>
      <c r="B70" s="21" t="s">
        <v>92</v>
      </c>
      <c r="C70" s="9" t="s">
        <v>3</v>
      </c>
      <c r="D70" s="9" t="s">
        <v>3</v>
      </c>
      <c r="E70" s="9" t="s">
        <v>3</v>
      </c>
      <c r="F70" s="9" t="s">
        <v>3</v>
      </c>
      <c r="G70" s="9" t="s">
        <v>3</v>
      </c>
      <c r="H70" s="9"/>
      <c r="I70" s="9"/>
    </row>
    <row r="71" spans="1:9" ht="15" customHeight="1" x14ac:dyDescent="0.2">
      <c r="A71" s="9" t="s">
        <v>79</v>
      </c>
      <c r="B71" s="22" t="s">
        <v>80</v>
      </c>
      <c r="C71" s="9">
        <v>2</v>
      </c>
      <c r="D71" s="9">
        <v>2</v>
      </c>
      <c r="E71" s="9">
        <v>730</v>
      </c>
      <c r="F71" s="9">
        <v>0.03</v>
      </c>
      <c r="G71" s="9">
        <v>87.6</v>
      </c>
      <c r="H71" s="9"/>
      <c r="I71" s="9"/>
    </row>
    <row r="72" spans="1:9" ht="15" customHeight="1" x14ac:dyDescent="0.2">
      <c r="A72" s="9" t="s">
        <v>81</v>
      </c>
      <c r="B72" s="22" t="s">
        <v>82</v>
      </c>
      <c r="C72" s="9">
        <v>16</v>
      </c>
      <c r="D72" s="9">
        <v>2</v>
      </c>
      <c r="E72" s="9">
        <v>730</v>
      </c>
      <c r="F72" s="9">
        <v>2E-3</v>
      </c>
      <c r="G72" s="9">
        <v>46.72</v>
      </c>
      <c r="H72" s="9"/>
      <c r="I72" s="9"/>
    </row>
    <row r="73" spans="1:9" ht="15" customHeight="1" x14ac:dyDescent="0.2">
      <c r="A73" s="21" t="s">
        <v>3</v>
      </c>
      <c r="B73" s="21" t="s">
        <v>73</v>
      </c>
      <c r="C73" s="21" t="s">
        <v>3</v>
      </c>
      <c r="D73" s="21" t="s">
        <v>3</v>
      </c>
      <c r="E73" s="21" t="s">
        <v>3</v>
      </c>
      <c r="F73" s="21" t="s">
        <v>3</v>
      </c>
      <c r="G73" s="21" t="s">
        <v>3</v>
      </c>
      <c r="H73" s="21"/>
      <c r="I73" s="21"/>
    </row>
    <row r="74" spans="1:9" ht="15" customHeight="1" x14ac:dyDescent="0.2">
      <c r="A74" s="9" t="s">
        <v>74</v>
      </c>
      <c r="B74" s="22" t="s">
        <v>75</v>
      </c>
      <c r="C74" s="9">
        <v>98.118279569999999</v>
      </c>
      <c r="D74" s="9">
        <v>2</v>
      </c>
      <c r="E74" s="9">
        <v>1</v>
      </c>
      <c r="F74" s="9">
        <v>2.5499999999999998E-2</v>
      </c>
      <c r="G74" s="9">
        <v>5.0040322579999996</v>
      </c>
      <c r="H74" s="9"/>
      <c r="I74" s="9"/>
    </row>
    <row r="75" spans="1:9" s="4" customFormat="1" ht="12.75" customHeight="1" x14ac:dyDescent="0.2">
      <c r="A75" s="9" t="s">
        <v>76</v>
      </c>
      <c r="B75" s="22" t="s">
        <v>77</v>
      </c>
      <c r="C75" s="9">
        <v>981.18279570000004</v>
      </c>
      <c r="D75" s="9">
        <v>2</v>
      </c>
      <c r="E75" s="9">
        <v>1</v>
      </c>
      <c r="F75" s="9">
        <v>1.6999999999999999E-3</v>
      </c>
      <c r="G75" s="9">
        <v>3.3360215050000002</v>
      </c>
      <c r="H75" s="9"/>
      <c r="I75" s="9"/>
    </row>
    <row r="76" spans="1:9" ht="15" customHeight="1" x14ac:dyDescent="0.2">
      <c r="A76" s="9" t="s">
        <v>83</v>
      </c>
      <c r="B76" s="22" t="s">
        <v>84</v>
      </c>
      <c r="C76" s="9">
        <v>2</v>
      </c>
      <c r="D76" s="9">
        <v>2</v>
      </c>
      <c r="E76" s="9">
        <v>730</v>
      </c>
      <c r="F76" s="9">
        <v>9.1999999999999998E-2</v>
      </c>
      <c r="G76" s="9">
        <v>268.64</v>
      </c>
      <c r="H76" s="9"/>
      <c r="I76" s="9"/>
    </row>
    <row r="77" spans="1:9" ht="15" customHeight="1" x14ac:dyDescent="0.2">
      <c r="A77" t="s">
        <v>3</v>
      </c>
      <c r="B77" s="53" t="s">
        <v>93</v>
      </c>
      <c r="C77" s="51" t="s">
        <v>3</v>
      </c>
      <c r="D77" s="51" t="s">
        <v>3</v>
      </c>
      <c r="E77" s="51" t="s">
        <v>3</v>
      </c>
      <c r="F77" s="52" t="s">
        <v>3</v>
      </c>
      <c r="G77" s="52" t="s">
        <v>3</v>
      </c>
      <c r="H77" s="52" t="s">
        <v>94</v>
      </c>
      <c r="I77" s="52" t="s">
        <v>94</v>
      </c>
    </row>
    <row r="78" spans="1:9" ht="15" customHeight="1" x14ac:dyDescent="0.2">
      <c r="A78" t="s">
        <v>95</v>
      </c>
      <c r="B78" s="54" t="s">
        <v>96</v>
      </c>
      <c r="C78" s="51">
        <v>2</v>
      </c>
      <c r="D78" s="51">
        <v>1</v>
      </c>
      <c r="E78" s="51">
        <v>730</v>
      </c>
      <c r="F78" s="52">
        <v>0.04</v>
      </c>
      <c r="G78" s="52">
        <v>58.4</v>
      </c>
      <c r="H78" s="52"/>
      <c r="I78" s="52"/>
    </row>
    <row r="79" spans="1:9" ht="15" customHeight="1" x14ac:dyDescent="0.2">
      <c r="A79" t="s">
        <v>97</v>
      </c>
      <c r="B79" s="54" t="s">
        <v>98</v>
      </c>
      <c r="C79" s="51">
        <v>64</v>
      </c>
      <c r="D79" s="51">
        <v>1</v>
      </c>
      <c r="E79" s="51">
        <v>730</v>
      </c>
      <c r="F79" s="52">
        <v>1.5E-3</v>
      </c>
      <c r="G79" s="52">
        <v>70.08</v>
      </c>
      <c r="H79" s="52"/>
      <c r="I79" s="52"/>
    </row>
    <row r="80" spans="1:9" ht="15" customHeight="1" x14ac:dyDescent="0.2">
      <c r="A80" s="21" t="s">
        <v>3</v>
      </c>
      <c r="B80" s="21" t="s">
        <v>73</v>
      </c>
      <c r="C80" s="21" t="s">
        <v>3</v>
      </c>
      <c r="D80" s="21" t="s">
        <v>3</v>
      </c>
      <c r="E80" s="21" t="s">
        <v>3</v>
      </c>
      <c r="F80" s="21" t="s">
        <v>3</v>
      </c>
      <c r="G80" s="21" t="s">
        <v>3</v>
      </c>
      <c r="H80" s="21"/>
      <c r="I80" s="21"/>
    </row>
    <row r="81" spans="1:9" ht="15" customHeight="1" x14ac:dyDescent="0.2">
      <c r="A81" s="9" t="s">
        <v>74</v>
      </c>
      <c r="B81" s="22" t="s">
        <v>75</v>
      </c>
      <c r="C81" s="9">
        <v>98.118279569999999</v>
      </c>
      <c r="D81" s="9">
        <v>1</v>
      </c>
      <c r="E81" s="9">
        <v>1</v>
      </c>
      <c r="F81" s="9">
        <v>2.5499999999999998E-2</v>
      </c>
      <c r="G81" s="9">
        <v>2.5020161289999998</v>
      </c>
      <c r="H81" s="9"/>
      <c r="I81" s="9"/>
    </row>
    <row r="82" spans="1:9" s="4" customFormat="1" ht="12.75" customHeight="1" x14ac:dyDescent="0.2">
      <c r="A82" s="9" t="s">
        <v>76</v>
      </c>
      <c r="B82" s="22" t="s">
        <v>77</v>
      </c>
      <c r="C82" s="9">
        <v>981.18279570000004</v>
      </c>
      <c r="D82" s="9">
        <v>1</v>
      </c>
      <c r="E82" s="9">
        <v>1</v>
      </c>
      <c r="F82" s="9">
        <v>1.6999999999999999E-3</v>
      </c>
      <c r="G82" s="9">
        <v>1.6680107529999999</v>
      </c>
      <c r="H82" s="9"/>
      <c r="I82" s="9"/>
    </row>
    <row r="83" spans="1:9" ht="15" customHeight="1" x14ac:dyDescent="0.2">
      <c r="A83" s="9" t="s">
        <v>83</v>
      </c>
      <c r="B83" s="22" t="s">
        <v>84</v>
      </c>
      <c r="C83" s="9">
        <v>2</v>
      </c>
      <c r="D83" s="9">
        <v>1</v>
      </c>
      <c r="E83" s="9">
        <v>730</v>
      </c>
      <c r="F83" s="9">
        <v>9.1999999999999998E-2</v>
      </c>
      <c r="G83" s="9">
        <v>134.32</v>
      </c>
      <c r="H83" s="9"/>
      <c r="I83" s="9"/>
    </row>
    <row r="84" spans="1:9" ht="15" customHeight="1" x14ac:dyDescent="0.2">
      <c r="A84" s="9" t="s">
        <v>3</v>
      </c>
      <c r="B84" s="21" t="s">
        <v>99</v>
      </c>
      <c r="C84" s="9" t="s">
        <v>3</v>
      </c>
      <c r="D84" s="9" t="s">
        <v>3</v>
      </c>
      <c r="E84" s="9" t="s">
        <v>3</v>
      </c>
      <c r="F84" s="9" t="s">
        <v>3</v>
      </c>
      <c r="G84" s="9" t="s">
        <v>3</v>
      </c>
      <c r="H84" s="9"/>
      <c r="I84" s="9"/>
    </row>
    <row r="85" spans="1:9" ht="15" customHeight="1" x14ac:dyDescent="0.2">
      <c r="A85" s="9" t="s">
        <v>74</v>
      </c>
      <c r="B85" s="22" t="s">
        <v>75</v>
      </c>
      <c r="C85" s="9">
        <v>1000</v>
      </c>
      <c r="D85" s="9">
        <v>1</v>
      </c>
      <c r="E85" s="9">
        <v>1</v>
      </c>
      <c r="F85" s="9">
        <v>2.5499999999999998E-2</v>
      </c>
      <c r="G85" s="9">
        <v>25.5</v>
      </c>
      <c r="H85" s="9"/>
      <c r="I85" s="9"/>
    </row>
    <row r="86" spans="1:9" ht="15" customHeight="1" x14ac:dyDescent="0.2">
      <c r="A86" s="9" t="s">
        <v>76</v>
      </c>
      <c r="B86" s="22" t="s">
        <v>77</v>
      </c>
      <c r="C86" s="9">
        <v>10000</v>
      </c>
      <c r="D86" s="9">
        <v>1</v>
      </c>
      <c r="E86" s="9">
        <v>1</v>
      </c>
      <c r="F86" s="9">
        <v>1.6999999999999999E-3</v>
      </c>
      <c r="G86" s="9">
        <v>17</v>
      </c>
      <c r="H86" s="9"/>
      <c r="I86" s="9"/>
    </row>
    <row r="87" spans="1:9" ht="15" customHeight="1" x14ac:dyDescent="0.2">
      <c r="A87" s="9" t="s">
        <v>3</v>
      </c>
      <c r="B87" s="21" t="s">
        <v>100</v>
      </c>
      <c r="C87" s="9" t="s">
        <v>3</v>
      </c>
      <c r="D87" s="9" t="s">
        <v>3</v>
      </c>
      <c r="E87" s="9" t="s">
        <v>3</v>
      </c>
      <c r="F87" s="9" t="s">
        <v>3</v>
      </c>
      <c r="G87" s="9" t="s">
        <v>3</v>
      </c>
      <c r="H87" s="9"/>
      <c r="I87" s="9"/>
    </row>
    <row r="88" spans="1:9" ht="15" customHeight="1" x14ac:dyDescent="0.2">
      <c r="A88" s="9" t="s">
        <v>101</v>
      </c>
      <c r="B88" s="22" t="s">
        <v>102</v>
      </c>
      <c r="C88" s="9">
        <v>1</v>
      </c>
      <c r="D88" s="9">
        <v>1</v>
      </c>
      <c r="E88" s="9">
        <v>730</v>
      </c>
      <c r="F88" s="9">
        <v>0</v>
      </c>
      <c r="G88" s="9">
        <v>0</v>
      </c>
      <c r="H88" s="9"/>
      <c r="I88" s="9"/>
    </row>
    <row r="89" spans="1:9" s="4" customFormat="1" ht="12.75" customHeight="1" x14ac:dyDescent="0.2">
      <c r="A89" s="9" t="s">
        <v>3</v>
      </c>
      <c r="B89" s="22" t="s">
        <v>102</v>
      </c>
      <c r="C89" s="9">
        <v>1</v>
      </c>
      <c r="D89" s="9">
        <v>1</v>
      </c>
      <c r="E89" s="9">
        <v>716</v>
      </c>
      <c r="F89" s="9">
        <v>1.1299999999999999E-2</v>
      </c>
      <c r="G89" s="9">
        <v>8.0907999999999998</v>
      </c>
      <c r="H89" s="9"/>
      <c r="I89" s="9"/>
    </row>
    <row r="90" spans="1:9" ht="15" customHeight="1" x14ac:dyDescent="0.2">
      <c r="A90" s="9" t="s">
        <v>103</v>
      </c>
      <c r="B90" s="22" t="s">
        <v>104</v>
      </c>
      <c r="C90" s="9">
        <v>1</v>
      </c>
      <c r="D90" s="9">
        <v>1</v>
      </c>
      <c r="E90" s="9">
        <v>7300</v>
      </c>
      <c r="F90" s="9">
        <v>0</v>
      </c>
      <c r="G90" s="9">
        <v>0</v>
      </c>
      <c r="H90" s="9"/>
      <c r="I90" s="9"/>
    </row>
    <row r="91" spans="1:9" ht="15" customHeight="1" x14ac:dyDescent="0.2">
      <c r="A91" s="9" t="s">
        <v>3</v>
      </c>
      <c r="B91" s="21" t="s">
        <v>105</v>
      </c>
      <c r="C91" s="9" t="s">
        <v>3</v>
      </c>
      <c r="D91" s="9" t="s">
        <v>3</v>
      </c>
      <c r="E91" s="9" t="s">
        <v>3</v>
      </c>
      <c r="F91" s="9" t="s">
        <v>3</v>
      </c>
      <c r="G91" s="9" t="s">
        <v>3</v>
      </c>
      <c r="H91" s="9"/>
      <c r="I91" s="9"/>
    </row>
    <row r="92" spans="1:9" ht="15" customHeight="1" x14ac:dyDescent="0.2">
      <c r="A92" s="9" t="s">
        <v>69</v>
      </c>
      <c r="B92" s="22" t="s">
        <v>70</v>
      </c>
      <c r="C92" s="9">
        <v>1</v>
      </c>
      <c r="D92" s="9">
        <v>1</v>
      </c>
      <c r="E92" s="9">
        <v>730</v>
      </c>
      <c r="F92" s="9">
        <v>0.03</v>
      </c>
      <c r="G92" s="9">
        <v>21.9</v>
      </c>
      <c r="H92" s="9"/>
      <c r="I92" s="9"/>
    </row>
    <row r="93" spans="1:9" ht="15" customHeight="1" x14ac:dyDescent="0.2">
      <c r="A93" s="9" t="s">
        <v>71</v>
      </c>
      <c r="B93" s="22" t="s">
        <v>72</v>
      </c>
      <c r="C93" s="9">
        <v>16</v>
      </c>
      <c r="D93" s="9">
        <v>1</v>
      </c>
      <c r="E93" s="9">
        <v>730</v>
      </c>
      <c r="F93" s="9">
        <v>2E-3</v>
      </c>
      <c r="G93" s="9">
        <v>23.36</v>
      </c>
      <c r="H93" s="9"/>
      <c r="I93" s="9"/>
    </row>
    <row r="94" spans="1:9" ht="15" customHeight="1" x14ac:dyDescent="0.2">
      <c r="A94" s="21" t="s">
        <v>3</v>
      </c>
      <c r="B94" s="21" t="s">
        <v>73</v>
      </c>
      <c r="C94" s="21" t="s">
        <v>3</v>
      </c>
      <c r="D94" s="21" t="s">
        <v>3</v>
      </c>
      <c r="E94" s="21" t="s">
        <v>3</v>
      </c>
      <c r="F94" s="21" t="s">
        <v>3</v>
      </c>
      <c r="G94" s="21" t="s">
        <v>3</v>
      </c>
      <c r="H94" s="21"/>
      <c r="I94" s="21"/>
    </row>
    <row r="95" spans="1:9" ht="15" customHeight="1" x14ac:dyDescent="0.2">
      <c r="A95" s="9" t="s">
        <v>74</v>
      </c>
      <c r="B95" s="22" t="s">
        <v>75</v>
      </c>
      <c r="C95" s="9">
        <v>245.29569889999999</v>
      </c>
      <c r="D95" s="9">
        <v>1</v>
      </c>
      <c r="E95" s="9">
        <v>1</v>
      </c>
      <c r="F95" s="9">
        <v>2.5499999999999998E-2</v>
      </c>
      <c r="G95" s="9">
        <v>6.2550403230000002</v>
      </c>
      <c r="H95" s="9"/>
      <c r="I95" s="9"/>
    </row>
    <row r="96" spans="1:9" s="4" customFormat="1" ht="12.75" customHeight="1" x14ac:dyDescent="0.2">
      <c r="A96" s="9" t="s">
        <v>76</v>
      </c>
      <c r="B96" s="22" t="s">
        <v>77</v>
      </c>
      <c r="C96" s="9">
        <v>2452.9569889999998</v>
      </c>
      <c r="D96" s="9">
        <v>1</v>
      </c>
      <c r="E96" s="9">
        <v>1</v>
      </c>
      <c r="F96" s="9">
        <v>1.6999999999999999E-3</v>
      </c>
      <c r="G96" s="9">
        <v>4.1700268820000002</v>
      </c>
      <c r="H96" s="9"/>
      <c r="I96" s="9"/>
    </row>
    <row r="97" spans="1:9" ht="15" customHeight="1" x14ac:dyDescent="0.2">
      <c r="A97" s="9" t="s">
        <v>3</v>
      </c>
      <c r="B97" s="21" t="s">
        <v>15</v>
      </c>
      <c r="C97" s="9" t="s">
        <v>3</v>
      </c>
      <c r="D97" s="9" t="s">
        <v>3</v>
      </c>
      <c r="E97" s="9" t="s">
        <v>3</v>
      </c>
      <c r="F97" s="9" t="s">
        <v>3</v>
      </c>
      <c r="G97" s="9" t="s">
        <v>3</v>
      </c>
      <c r="H97" s="9"/>
      <c r="I97" s="9"/>
    </row>
    <row r="98" spans="1:9" ht="15" customHeight="1" x14ac:dyDescent="0.2">
      <c r="A98" s="9" t="s">
        <v>106</v>
      </c>
      <c r="B98" s="22" t="s">
        <v>107</v>
      </c>
      <c r="C98" s="9">
        <v>10</v>
      </c>
      <c r="D98" s="9">
        <v>1</v>
      </c>
      <c r="E98" s="9">
        <v>1</v>
      </c>
      <c r="F98" s="9">
        <v>0</v>
      </c>
      <c r="G98" s="9">
        <v>0</v>
      </c>
      <c r="H98" s="9"/>
      <c r="I98" s="9"/>
    </row>
    <row r="99" spans="1:9" ht="15" customHeight="1" x14ac:dyDescent="0.2">
      <c r="A99" s="9" t="s">
        <v>3</v>
      </c>
      <c r="B99" s="22" t="s">
        <v>107</v>
      </c>
      <c r="C99" s="9">
        <v>990</v>
      </c>
      <c r="D99" s="9">
        <v>1</v>
      </c>
      <c r="E99" s="9">
        <v>1</v>
      </c>
      <c r="F99" s="9">
        <v>2.5499999999999998E-2</v>
      </c>
      <c r="G99" s="9">
        <v>25.245000000000001</v>
      </c>
      <c r="H99" s="9"/>
      <c r="I99" s="9"/>
    </row>
    <row r="100" spans="1:9" s="5" customFormat="1" ht="16" x14ac:dyDescent="0.2">
      <c r="A100" s="9" t="s">
        <v>108</v>
      </c>
      <c r="B100" s="22" t="s">
        <v>109</v>
      </c>
      <c r="C100" s="9">
        <v>5</v>
      </c>
      <c r="D100" s="9">
        <v>1</v>
      </c>
      <c r="E100" s="9">
        <v>1</v>
      </c>
      <c r="F100" s="9">
        <v>0</v>
      </c>
      <c r="G100" s="9">
        <v>0</v>
      </c>
      <c r="H100" s="9"/>
      <c r="I100" s="9"/>
    </row>
    <row r="101" spans="1:9" ht="16" x14ac:dyDescent="0.2">
      <c r="A101" s="9" t="s">
        <v>3</v>
      </c>
      <c r="B101" s="22" t="s">
        <v>109</v>
      </c>
      <c r="C101" s="9">
        <v>9995</v>
      </c>
      <c r="D101" s="9">
        <v>1</v>
      </c>
      <c r="E101" s="9">
        <v>1</v>
      </c>
      <c r="F101" s="9">
        <v>3.3999999999999998E-3</v>
      </c>
      <c r="G101" s="9">
        <v>33.982999999999997</v>
      </c>
      <c r="H101" s="9"/>
      <c r="I101" s="9"/>
    </row>
    <row r="102" spans="1:9" x14ac:dyDescent="0.2">
      <c r="A102" s="9" t="s">
        <v>3</v>
      </c>
      <c r="B102" s="21" t="s">
        <v>17</v>
      </c>
      <c r="C102" s="9" t="s">
        <v>3</v>
      </c>
      <c r="D102" s="9" t="s">
        <v>3</v>
      </c>
      <c r="E102" s="9" t="s">
        <v>3</v>
      </c>
      <c r="F102" s="9" t="s">
        <v>3</v>
      </c>
      <c r="G102" s="9" t="s">
        <v>3</v>
      </c>
      <c r="H102" s="9"/>
      <c r="I102" s="9"/>
    </row>
    <row r="103" spans="1:9" s="6" customFormat="1" ht="16" x14ac:dyDescent="0.2">
      <c r="A103" s="9" t="s">
        <v>110</v>
      </c>
      <c r="B103" s="22" t="s">
        <v>111</v>
      </c>
      <c r="C103" s="9">
        <v>100</v>
      </c>
      <c r="D103" s="9">
        <v>1</v>
      </c>
      <c r="E103" s="9">
        <v>1</v>
      </c>
      <c r="F103" s="9">
        <v>0.3</v>
      </c>
      <c r="G103" s="9">
        <v>30</v>
      </c>
      <c r="H103" s="9"/>
      <c r="I103" s="9"/>
    </row>
    <row r="104" spans="1:9" s="6" customFormat="1" x14ac:dyDescent="0.2">
      <c r="A104" s="9" t="s">
        <v>3</v>
      </c>
      <c r="B104" s="21" t="s">
        <v>112</v>
      </c>
      <c r="C104" s="9" t="s">
        <v>3</v>
      </c>
      <c r="D104" s="9" t="s">
        <v>3</v>
      </c>
      <c r="E104" s="9" t="s">
        <v>3</v>
      </c>
      <c r="F104" s="9" t="s">
        <v>3</v>
      </c>
      <c r="G104" s="9" t="s">
        <v>3</v>
      </c>
      <c r="H104" s="9"/>
      <c r="I104" s="9"/>
    </row>
    <row r="105" spans="1:9" s="6" customFormat="1" ht="16" x14ac:dyDescent="0.2">
      <c r="A105" s="9" t="s">
        <v>113</v>
      </c>
      <c r="B105" s="22" t="s">
        <v>114</v>
      </c>
      <c r="C105" s="62">
        <v>2</v>
      </c>
      <c r="D105" s="9">
        <v>1</v>
      </c>
      <c r="E105" s="9">
        <v>730</v>
      </c>
      <c r="F105" s="9">
        <v>0.21249999999999999</v>
      </c>
      <c r="G105" s="62">
        <f>155.125*2</f>
        <v>310.25</v>
      </c>
      <c r="H105" s="9"/>
      <c r="I105" s="9"/>
    </row>
    <row r="106" spans="1:9" s="6" customFormat="1" x14ac:dyDescent="0.2">
      <c r="A106" s="9"/>
      <c r="B106" s="22"/>
      <c r="C106" s="9"/>
      <c r="D106" s="9"/>
      <c r="E106" s="9"/>
      <c r="F106" s="9"/>
      <c r="G106" s="9"/>
      <c r="H106" s="9"/>
      <c r="I106" s="9"/>
    </row>
    <row r="107" spans="1:9" x14ac:dyDescent="0.2">
      <c r="A107" s="23" t="s">
        <v>3</v>
      </c>
      <c r="B107" s="23" t="s">
        <v>115</v>
      </c>
      <c r="C107" s="23" t="s">
        <v>3</v>
      </c>
      <c r="D107" s="23" t="s">
        <v>3</v>
      </c>
      <c r="E107" s="23" t="s">
        <v>3</v>
      </c>
      <c r="F107" s="23"/>
      <c r="G107" s="26">
        <f>SUM(G8:G105)</f>
        <v>7698.9342435469953</v>
      </c>
      <c r="H107" s="23"/>
      <c r="I107" s="23"/>
    </row>
    <row r="108" spans="1:9" s="7" customFormat="1" ht="12.75" customHeight="1" x14ac:dyDescent="0.2">
      <c r="A108" s="9"/>
      <c r="B108" s="27" t="s">
        <v>116</v>
      </c>
      <c r="C108" s="9"/>
      <c r="D108" s="9"/>
      <c r="E108" s="9"/>
      <c r="F108" s="9"/>
      <c r="G108" s="28">
        <f>PRODUCT(G107*12)</f>
        <v>92387.210922563943</v>
      </c>
      <c r="H108" s="9"/>
      <c r="I108" s="9"/>
    </row>
    <row r="109" spans="1:9" x14ac:dyDescent="0.2">
      <c r="A109" s="9"/>
      <c r="B109" s="9"/>
      <c r="C109" s="9"/>
      <c r="D109" s="9"/>
      <c r="E109" s="9"/>
      <c r="F109" s="9"/>
      <c r="G109" s="9"/>
      <c r="H109" s="9"/>
      <c r="I109" s="9"/>
    </row>
    <row r="110" spans="1:9" x14ac:dyDescent="0.2">
      <c r="A110" s="82" t="s">
        <v>117</v>
      </c>
      <c r="B110" s="82"/>
      <c r="C110" s="24" t="s">
        <v>3</v>
      </c>
      <c r="D110" s="24" t="s">
        <v>3</v>
      </c>
      <c r="E110" s="24" t="s">
        <v>3</v>
      </c>
      <c r="F110" s="24" t="s">
        <v>3</v>
      </c>
      <c r="G110" s="24" t="s">
        <v>3</v>
      </c>
      <c r="H110" s="24"/>
      <c r="I110" s="24"/>
    </row>
    <row r="111" spans="1:9" x14ac:dyDescent="0.2">
      <c r="A111" s="9"/>
      <c r="B111" s="9"/>
      <c r="C111" s="9"/>
      <c r="D111" s="9"/>
      <c r="E111" s="9"/>
      <c r="F111" s="9"/>
      <c r="G111" s="9"/>
      <c r="H111" s="9"/>
      <c r="I111" s="9"/>
    </row>
    <row r="112" spans="1:9" x14ac:dyDescent="0.2">
      <c r="A112" s="83" t="s">
        <v>118</v>
      </c>
      <c r="B112" s="83"/>
      <c r="C112" s="83"/>
      <c r="D112" s="83"/>
      <c r="E112" s="83"/>
      <c r="F112" s="83"/>
      <c r="G112" s="83"/>
      <c r="H112" s="25"/>
      <c r="I112" s="25"/>
    </row>
  </sheetData>
  <mergeCells count="7">
    <mergeCell ref="A110:B110"/>
    <mergeCell ref="A112:G112"/>
    <mergeCell ref="A1:B1"/>
    <mergeCell ref="A2:B2"/>
    <mergeCell ref="A3:B3"/>
    <mergeCell ref="A4:B4"/>
    <mergeCell ref="A5: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06C78-ADFE-469F-A756-4F63D79E2FAA}">
  <dimension ref="A1:J30"/>
  <sheetViews>
    <sheetView topLeftCell="A2" workbookViewId="0">
      <selection activeCell="A9" sqref="A9"/>
    </sheetView>
  </sheetViews>
  <sheetFormatPr baseColWidth="10" defaultColWidth="8.83203125" defaultRowHeight="15" x14ac:dyDescent="0.2"/>
  <cols>
    <col min="1" max="1" width="29" customWidth="1"/>
    <col min="2" max="2" width="26.5" customWidth="1"/>
    <col min="3" max="3" width="41.6640625" customWidth="1"/>
    <col min="4" max="4" width="15.83203125" customWidth="1"/>
    <col min="6" max="6" width="13.5" style="31" bestFit="1" customWidth="1"/>
    <col min="7" max="7" width="30.6640625" style="31" customWidth="1"/>
  </cols>
  <sheetData>
    <row r="1" spans="1:10" ht="16" x14ac:dyDescent="0.2">
      <c r="A1" s="16" t="s">
        <v>119</v>
      </c>
      <c r="B1" s="16"/>
      <c r="C1" s="16"/>
      <c r="D1" s="16"/>
      <c r="E1" s="16"/>
      <c r="F1" s="30"/>
      <c r="G1" s="30"/>
      <c r="H1" s="16"/>
      <c r="I1" s="16"/>
      <c r="J1" s="16"/>
    </row>
    <row r="2" spans="1:10" ht="16" x14ac:dyDescent="0.2">
      <c r="A2" s="16" t="s">
        <v>120</v>
      </c>
      <c r="B2" s="16" t="s">
        <v>121</v>
      </c>
      <c r="C2" s="16" t="s">
        <v>122</v>
      </c>
      <c r="D2" s="16" t="s">
        <v>123</v>
      </c>
      <c r="E2" s="16"/>
      <c r="F2" s="30"/>
      <c r="G2" s="30"/>
      <c r="H2" s="16"/>
      <c r="I2" s="16"/>
      <c r="J2" s="16"/>
    </row>
    <row r="3" spans="1:10" ht="16" x14ac:dyDescent="0.2">
      <c r="A3" s="16">
        <v>0</v>
      </c>
      <c r="B3" s="16">
        <v>10382.459999999999</v>
      </c>
      <c r="C3" s="16">
        <v>124589.52</v>
      </c>
      <c r="D3" s="16" t="s">
        <v>124</v>
      </c>
      <c r="E3" s="16"/>
      <c r="F3" s="30"/>
      <c r="G3" s="30"/>
      <c r="H3" s="16"/>
      <c r="I3" s="16"/>
      <c r="J3" s="16"/>
    </row>
    <row r="4" spans="1:10" ht="16" x14ac:dyDescent="0.2">
      <c r="A4" s="16"/>
      <c r="B4" s="16"/>
      <c r="C4" s="16" t="s">
        <v>125</v>
      </c>
      <c r="D4" s="16"/>
      <c r="E4" s="16"/>
      <c r="F4" s="30"/>
      <c r="G4" s="30"/>
      <c r="H4" s="16"/>
      <c r="I4" s="16"/>
      <c r="J4" s="16"/>
    </row>
    <row r="5" spans="1:10" ht="16" x14ac:dyDescent="0.2">
      <c r="A5" s="16"/>
      <c r="B5" s="16"/>
      <c r="C5" s="16"/>
      <c r="D5" s="16"/>
      <c r="E5" s="16"/>
      <c r="F5" s="30"/>
      <c r="G5" s="30"/>
      <c r="H5" s="16"/>
      <c r="I5" s="16"/>
      <c r="J5" s="16"/>
    </row>
    <row r="6" spans="1:10" ht="16" x14ac:dyDescent="0.2">
      <c r="A6" s="16"/>
      <c r="B6" s="16"/>
      <c r="C6" s="16"/>
      <c r="D6" s="16"/>
      <c r="E6" s="16"/>
      <c r="F6" s="30"/>
      <c r="G6" s="30"/>
      <c r="H6" s="16"/>
      <c r="I6" s="16"/>
      <c r="J6" s="16"/>
    </row>
    <row r="7" spans="1:10" ht="16" x14ac:dyDescent="0.2">
      <c r="A7" s="16" t="s">
        <v>126</v>
      </c>
      <c r="B7" s="16"/>
      <c r="C7" s="16"/>
      <c r="D7" s="16"/>
      <c r="E7" s="16"/>
      <c r="F7" s="30"/>
      <c r="G7" s="30"/>
      <c r="H7" s="16"/>
      <c r="I7" s="16"/>
      <c r="J7" s="16"/>
    </row>
    <row r="8" spans="1:10" ht="16" x14ac:dyDescent="0.2">
      <c r="A8" s="16" t="s">
        <v>127</v>
      </c>
      <c r="B8" s="16" t="s">
        <v>128</v>
      </c>
      <c r="C8" s="16" t="s">
        <v>58</v>
      </c>
      <c r="D8" s="16" t="s">
        <v>129</v>
      </c>
      <c r="E8" s="16" t="s">
        <v>130</v>
      </c>
      <c r="F8" s="30" t="s">
        <v>131</v>
      </c>
      <c r="G8" s="30" t="s">
        <v>132</v>
      </c>
      <c r="H8" s="16" t="s">
        <v>123</v>
      </c>
      <c r="I8" s="16" t="s">
        <v>133</v>
      </c>
      <c r="J8" s="16" t="s">
        <v>134</v>
      </c>
    </row>
    <row r="9" spans="1:10" ht="16" x14ac:dyDescent="0.2">
      <c r="A9" s="16" t="s">
        <v>166</v>
      </c>
      <c r="B9" s="16" t="s">
        <v>135</v>
      </c>
      <c r="C9" s="16" t="s">
        <v>136</v>
      </c>
      <c r="D9" s="16" t="s">
        <v>137</v>
      </c>
      <c r="E9" s="16">
        <v>0</v>
      </c>
      <c r="F9" s="30">
        <v>319.56319999999999</v>
      </c>
      <c r="G9" s="30">
        <v>3834.76</v>
      </c>
      <c r="H9" s="16" t="s">
        <v>124</v>
      </c>
      <c r="I9" s="16"/>
      <c r="J9" s="16" t="s">
        <v>138</v>
      </c>
    </row>
    <row r="10" spans="1:10" ht="16" x14ac:dyDescent="0.2">
      <c r="A10" s="16" t="s">
        <v>166</v>
      </c>
      <c r="B10" s="16" t="s">
        <v>135</v>
      </c>
      <c r="C10" s="16" t="s">
        <v>85</v>
      </c>
      <c r="D10" s="16" t="s">
        <v>137</v>
      </c>
      <c r="E10" s="16">
        <v>0</v>
      </c>
      <c r="F10" s="30">
        <v>311.56319999999999</v>
      </c>
      <c r="G10" s="30">
        <v>3738.76</v>
      </c>
      <c r="H10" s="16" t="s">
        <v>124</v>
      </c>
      <c r="I10" s="16"/>
      <c r="J10" s="16" t="s">
        <v>139</v>
      </c>
    </row>
    <row r="11" spans="1:10" ht="16" x14ac:dyDescent="0.2">
      <c r="A11" s="16" t="s">
        <v>166</v>
      </c>
      <c r="B11" s="16" t="s">
        <v>135</v>
      </c>
      <c r="C11" s="16" t="s">
        <v>86</v>
      </c>
      <c r="D11" s="16" t="s">
        <v>137</v>
      </c>
      <c r="E11" s="16">
        <v>0</v>
      </c>
      <c r="F11" s="30">
        <v>623.12639999999999</v>
      </c>
      <c r="G11" s="30">
        <v>7477.52</v>
      </c>
      <c r="H11" s="16" t="s">
        <v>124</v>
      </c>
      <c r="I11" s="16"/>
      <c r="J11" s="16" t="s">
        <v>140</v>
      </c>
    </row>
    <row r="12" spans="1:10" ht="16" x14ac:dyDescent="0.2">
      <c r="A12" s="16" t="s">
        <v>166</v>
      </c>
      <c r="B12" s="16" t="s">
        <v>135</v>
      </c>
      <c r="C12" s="16" t="s">
        <v>87</v>
      </c>
      <c r="D12" s="16" t="s">
        <v>137</v>
      </c>
      <c r="E12" s="16">
        <v>0</v>
      </c>
      <c r="F12" s="30">
        <v>1230.2528</v>
      </c>
      <c r="G12" s="30">
        <v>14763.03</v>
      </c>
      <c r="H12" s="16" t="s">
        <v>124</v>
      </c>
      <c r="I12" s="16"/>
      <c r="J12" s="16" t="s">
        <v>141</v>
      </c>
    </row>
    <row r="13" spans="1:10" ht="16" x14ac:dyDescent="0.2">
      <c r="A13" s="16" t="s">
        <v>166</v>
      </c>
      <c r="B13" s="16" t="s">
        <v>135</v>
      </c>
      <c r="C13" s="16" t="s">
        <v>88</v>
      </c>
      <c r="D13" s="16" t="s">
        <v>137</v>
      </c>
      <c r="E13" s="16">
        <v>0</v>
      </c>
      <c r="F13" s="30">
        <v>1230.2528</v>
      </c>
      <c r="G13" s="30">
        <v>14763.03</v>
      </c>
      <c r="H13" s="16" t="s">
        <v>124</v>
      </c>
      <c r="I13" s="16"/>
      <c r="J13" s="16" t="s">
        <v>141</v>
      </c>
    </row>
    <row r="14" spans="1:10" ht="16" x14ac:dyDescent="0.2">
      <c r="A14" s="16" t="s">
        <v>166</v>
      </c>
      <c r="B14" s="16" t="s">
        <v>135</v>
      </c>
      <c r="C14" s="16" t="s">
        <v>89</v>
      </c>
      <c r="D14" s="16" t="s">
        <v>137</v>
      </c>
      <c r="E14" s="16">
        <v>0</v>
      </c>
      <c r="F14" s="30">
        <v>1230.2528</v>
      </c>
      <c r="G14" s="30">
        <v>14763.03</v>
      </c>
      <c r="H14" s="16" t="s">
        <v>124</v>
      </c>
      <c r="I14" s="16"/>
      <c r="J14" s="16" t="s">
        <v>141</v>
      </c>
    </row>
    <row r="15" spans="1:10" ht="16" x14ac:dyDescent="0.2">
      <c r="A15" s="16" t="s">
        <v>166</v>
      </c>
      <c r="B15" s="16" t="s">
        <v>135</v>
      </c>
      <c r="C15" s="16" t="s">
        <v>90</v>
      </c>
      <c r="D15" s="16" t="s">
        <v>137</v>
      </c>
      <c r="E15" s="16">
        <v>0</v>
      </c>
      <c r="F15" s="30">
        <v>1230.2528</v>
      </c>
      <c r="G15" s="30">
        <v>14763.03</v>
      </c>
      <c r="H15" s="16" t="s">
        <v>124</v>
      </c>
      <c r="I15" s="16"/>
      <c r="J15" s="16" t="s">
        <v>141</v>
      </c>
    </row>
    <row r="16" spans="1:10" ht="16" x14ac:dyDescent="0.2">
      <c r="A16" s="16" t="s">
        <v>166</v>
      </c>
      <c r="B16" s="16" t="s">
        <v>135</v>
      </c>
      <c r="C16" s="16" t="s">
        <v>91</v>
      </c>
      <c r="D16" s="16" t="s">
        <v>137</v>
      </c>
      <c r="E16" s="16">
        <v>0</v>
      </c>
      <c r="F16" s="30">
        <v>1230.2528</v>
      </c>
      <c r="G16" s="30">
        <v>14763.03</v>
      </c>
      <c r="H16" s="16" t="s">
        <v>124</v>
      </c>
      <c r="I16" s="16"/>
      <c r="J16" s="16" t="s">
        <v>141</v>
      </c>
    </row>
    <row r="17" spans="1:10" ht="16" x14ac:dyDescent="0.2">
      <c r="A17" s="16" t="s">
        <v>166</v>
      </c>
      <c r="B17" s="16" t="s">
        <v>135</v>
      </c>
      <c r="C17" s="16" t="s">
        <v>92</v>
      </c>
      <c r="D17" s="16" t="s">
        <v>137</v>
      </c>
      <c r="E17" s="16">
        <v>0</v>
      </c>
      <c r="F17" s="30">
        <v>623.12639999999999</v>
      </c>
      <c r="G17" s="30">
        <v>7477.52</v>
      </c>
      <c r="H17" s="16" t="s">
        <v>124</v>
      </c>
      <c r="I17" s="16"/>
      <c r="J17" s="16" t="s">
        <v>140</v>
      </c>
    </row>
    <row r="18" spans="1:10" ht="16" x14ac:dyDescent="0.2">
      <c r="A18" s="16" t="s">
        <v>166</v>
      </c>
      <c r="B18" s="16" t="s">
        <v>135</v>
      </c>
      <c r="C18" s="16" t="s">
        <v>142</v>
      </c>
      <c r="D18" s="16" t="s">
        <v>137</v>
      </c>
      <c r="E18" s="16">
        <v>0</v>
      </c>
      <c r="F18" s="30">
        <v>734.95600000000002</v>
      </c>
      <c r="G18" s="30">
        <v>8819.4699999999993</v>
      </c>
      <c r="H18" s="16" t="s">
        <v>124</v>
      </c>
      <c r="I18" s="16"/>
      <c r="J18" s="16" t="s">
        <v>143</v>
      </c>
    </row>
    <row r="19" spans="1:10" ht="16" x14ac:dyDescent="0.2">
      <c r="A19" s="16" t="s">
        <v>166</v>
      </c>
      <c r="B19" s="16" t="s">
        <v>135</v>
      </c>
      <c r="C19" s="16" t="s">
        <v>144</v>
      </c>
      <c r="D19" s="16" t="s">
        <v>145</v>
      </c>
      <c r="E19" s="16">
        <v>0</v>
      </c>
      <c r="F19" s="30">
        <v>23.05</v>
      </c>
      <c r="G19" s="30">
        <v>276.60000000000002</v>
      </c>
      <c r="H19" s="16" t="s">
        <v>124</v>
      </c>
      <c r="I19" s="16"/>
      <c r="J19" s="16" t="s">
        <v>146</v>
      </c>
    </row>
    <row r="20" spans="1:10" ht="16" x14ac:dyDescent="0.2">
      <c r="A20" s="16" t="s">
        <v>166</v>
      </c>
      <c r="B20" s="16" t="s">
        <v>135</v>
      </c>
      <c r="C20" s="16" t="s">
        <v>144</v>
      </c>
      <c r="D20" s="16" t="s">
        <v>147</v>
      </c>
      <c r="E20" s="16">
        <v>0</v>
      </c>
      <c r="F20" s="30">
        <v>0</v>
      </c>
      <c r="G20" s="30">
        <v>0</v>
      </c>
      <c r="H20" s="16" t="s">
        <v>124</v>
      </c>
      <c r="I20" s="16"/>
      <c r="J20" s="16" t="s">
        <v>148</v>
      </c>
    </row>
    <row r="21" spans="1:10" ht="16" x14ac:dyDescent="0.2">
      <c r="A21" s="16" t="s">
        <v>166</v>
      </c>
      <c r="B21" s="16" t="s">
        <v>135</v>
      </c>
      <c r="C21" s="16" t="s">
        <v>17</v>
      </c>
      <c r="D21" s="16" t="s">
        <v>149</v>
      </c>
      <c r="E21" s="16">
        <v>0</v>
      </c>
      <c r="F21" s="30">
        <v>30</v>
      </c>
      <c r="G21" s="30">
        <v>360</v>
      </c>
      <c r="H21" s="16" t="s">
        <v>124</v>
      </c>
      <c r="I21" s="16"/>
      <c r="J21" s="16" t="s">
        <v>150</v>
      </c>
    </row>
    <row r="22" spans="1:10" ht="16" x14ac:dyDescent="0.2">
      <c r="A22" s="16" t="s">
        <v>166</v>
      </c>
      <c r="B22" s="16" t="s">
        <v>135</v>
      </c>
      <c r="C22" s="16" t="s">
        <v>151</v>
      </c>
      <c r="D22" s="16" t="s">
        <v>152</v>
      </c>
      <c r="E22" s="16">
        <v>0</v>
      </c>
      <c r="F22" s="30">
        <v>62.5</v>
      </c>
      <c r="G22" s="30">
        <v>750</v>
      </c>
      <c r="H22" s="16" t="s">
        <v>124</v>
      </c>
      <c r="I22" s="16"/>
      <c r="J22" s="16" t="s">
        <v>153</v>
      </c>
    </row>
    <row r="23" spans="1:10" ht="16" x14ac:dyDescent="0.2">
      <c r="A23" s="16" t="s">
        <v>166</v>
      </c>
      <c r="B23" s="16" t="s">
        <v>135</v>
      </c>
      <c r="C23" s="16" t="s">
        <v>66</v>
      </c>
      <c r="D23" s="16" t="s">
        <v>154</v>
      </c>
      <c r="E23" s="16">
        <v>0</v>
      </c>
      <c r="F23" s="30">
        <v>1470</v>
      </c>
      <c r="G23" s="30">
        <v>17640</v>
      </c>
      <c r="H23" s="16" t="s">
        <v>124</v>
      </c>
      <c r="I23" s="16"/>
      <c r="J23" s="16" t="s">
        <v>155</v>
      </c>
    </row>
    <row r="24" spans="1:10" ht="16" x14ac:dyDescent="0.2">
      <c r="A24" s="16" t="s">
        <v>166</v>
      </c>
      <c r="B24" s="16" t="s">
        <v>135</v>
      </c>
      <c r="C24" s="16" t="s">
        <v>156</v>
      </c>
      <c r="D24" s="16" t="s">
        <v>157</v>
      </c>
      <c r="E24" s="16">
        <v>0</v>
      </c>
      <c r="F24" s="30">
        <v>33.32</v>
      </c>
      <c r="G24" s="30">
        <v>399.84</v>
      </c>
      <c r="H24" s="16" t="s">
        <v>124</v>
      </c>
      <c r="I24" s="16"/>
      <c r="J24" s="16" t="s">
        <v>158</v>
      </c>
    </row>
    <row r="25" spans="1:10" ht="16" x14ac:dyDescent="0.2">
      <c r="A25" s="59" t="s">
        <v>166</v>
      </c>
      <c r="B25" s="59" t="s">
        <v>135</v>
      </c>
      <c r="C25" s="59" t="s">
        <v>147</v>
      </c>
      <c r="D25" s="59" t="s">
        <v>18</v>
      </c>
      <c r="E25" s="59">
        <v>0</v>
      </c>
      <c r="F25" s="55">
        <v>0</v>
      </c>
      <c r="G25" s="61">
        <v>0</v>
      </c>
      <c r="H25" s="59" t="s">
        <v>124</v>
      </c>
      <c r="I25" s="59"/>
      <c r="J25" s="59" t="s">
        <v>159</v>
      </c>
    </row>
    <row r="26" spans="1:10" ht="16" x14ac:dyDescent="0.2">
      <c r="A26" s="60" t="s">
        <v>166</v>
      </c>
      <c r="B26" s="59" t="s">
        <v>135</v>
      </c>
      <c r="C26" s="59" t="s">
        <v>160</v>
      </c>
      <c r="D26" s="59" t="s">
        <v>161</v>
      </c>
      <c r="E26" s="59">
        <v>0</v>
      </c>
      <c r="F26" s="61">
        <v>478.96</v>
      </c>
      <c r="G26" s="61">
        <f>PRODUCT(F26*12)</f>
        <v>5747.5199999999995</v>
      </c>
      <c r="H26" s="59" t="s">
        <v>124</v>
      </c>
      <c r="I26" s="59"/>
      <c r="J26" s="59" t="s">
        <v>162</v>
      </c>
    </row>
    <row r="27" spans="1:10" ht="16" x14ac:dyDescent="0.2">
      <c r="A27" t="s">
        <v>131</v>
      </c>
      <c r="B27" s="16"/>
      <c r="C27" s="16"/>
      <c r="D27" s="16"/>
      <c r="E27" s="16"/>
      <c r="F27" s="17">
        <f>SUM(F9:F26)</f>
        <v>10861.429199999999</v>
      </c>
      <c r="G27" s="30"/>
      <c r="H27" s="16"/>
      <c r="I27" s="16"/>
      <c r="J27" s="16"/>
    </row>
    <row r="28" spans="1:10" ht="16" x14ac:dyDescent="0.2">
      <c r="A28" s="16" t="s">
        <v>163</v>
      </c>
      <c r="B28" s="16"/>
      <c r="C28" s="16"/>
      <c r="D28" s="16"/>
      <c r="E28" s="16"/>
      <c r="F28" s="17">
        <f>PRODUCT(F27*12)</f>
        <v>130337.15039999998</v>
      </c>
      <c r="G28" s="30"/>
      <c r="H28" s="16"/>
      <c r="I28" s="16"/>
      <c r="J28" s="16"/>
    </row>
    <row r="29" spans="1:10" ht="16" x14ac:dyDescent="0.2">
      <c r="A29" s="16" t="s">
        <v>164</v>
      </c>
      <c r="B29" s="16"/>
      <c r="C29" s="16"/>
      <c r="D29" s="16"/>
      <c r="E29" s="16"/>
      <c r="F29" s="30"/>
      <c r="G29" s="30"/>
      <c r="H29" s="16"/>
      <c r="I29" s="16"/>
      <c r="J29" s="16"/>
    </row>
    <row r="30" spans="1:10" ht="16" x14ac:dyDescent="0.2">
      <c r="A30" s="16" t="s">
        <v>165</v>
      </c>
      <c r="B30" s="16"/>
      <c r="C30" s="16"/>
      <c r="D30" s="16"/>
      <c r="E30" s="16"/>
      <c r="F30" s="30"/>
      <c r="G30" s="30"/>
      <c r="H30" s="16"/>
      <c r="I30" s="16"/>
      <c r="J30" s="16"/>
    </row>
  </sheetData>
  <pageMargins left="0.7" right="0.7" top="0.75" bottom="0.75" header="0.3" footer="0.3"/>
</worksheet>
</file>

<file path=docMetadata/LabelInfo.xml><?xml version="1.0" encoding="utf-8"?>
<clbl:labelList xmlns:clbl="http://schemas.microsoft.com/office/2020/mipLabelMetadata">
  <clbl:label id="{3c76ce46-357f-46de-88d6-77b9bbb83c46}" enabled="1" method="Privileged" siteId="{4e2c6054-71cb-48f1-bd6c-3a9705aca71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Product Breakdown</vt:lpstr>
      <vt:lpstr>Product Breakdown + DR</vt:lpstr>
      <vt:lpstr>OCI Estimate</vt:lpstr>
      <vt:lpstr>AWS Estimate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McKenzie Holliday</cp:lastModifiedBy>
  <cp:revision/>
  <dcterms:created xsi:type="dcterms:W3CDTF">2025-06-20T15:41:32Z</dcterms:created>
  <dcterms:modified xsi:type="dcterms:W3CDTF">2026-04-04T23:20:32Z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76ce46-357f-46de-88d6-77b9bbb83c46_Enabled">
    <vt:lpwstr>true</vt:lpwstr>
  </property>
  <property fmtid="{D5CDD505-2E9C-101B-9397-08002B2CF9AE}" pid="3" name="MSIP_Label_3c76ce46-357f-46de-88d6-77b9bbb83c46_SetDate">
    <vt:lpwstr>2025-07-22T14:59:45Z</vt:lpwstr>
  </property>
  <property fmtid="{D5CDD505-2E9C-101B-9397-08002B2CF9AE}" pid="4" name="MSIP_Label_3c76ce46-357f-46de-88d6-77b9bbb83c46_Method">
    <vt:lpwstr>Privileged</vt:lpwstr>
  </property>
  <property fmtid="{D5CDD505-2E9C-101B-9397-08002B2CF9AE}" pid="5" name="MSIP_Label_3c76ce46-357f-46de-88d6-77b9bbb83c46_Name">
    <vt:lpwstr>Public</vt:lpwstr>
  </property>
  <property fmtid="{D5CDD505-2E9C-101B-9397-08002B2CF9AE}" pid="6" name="MSIP_Label_3c76ce46-357f-46de-88d6-77b9bbb83c46_SiteId">
    <vt:lpwstr>4e2c6054-71cb-48f1-bd6c-3a9705aca71b</vt:lpwstr>
  </property>
  <property fmtid="{D5CDD505-2E9C-101B-9397-08002B2CF9AE}" pid="7" name="MSIP_Label_3c76ce46-357f-46de-88d6-77b9bbb83c46_ActionId">
    <vt:lpwstr>f9b26ed9-f451-434f-876a-cafa301ab1ed</vt:lpwstr>
  </property>
  <property fmtid="{D5CDD505-2E9C-101B-9397-08002B2CF9AE}" pid="8" name="MSIP_Label_3c76ce46-357f-46de-88d6-77b9bbb83c46_ContentBits">
    <vt:lpwstr>0</vt:lpwstr>
  </property>
  <property fmtid="{D5CDD505-2E9C-101B-9397-08002B2CF9AE}" pid="9" name="MSIP_Label_3c76ce46-357f-46de-88d6-77b9bbb83c46_Tag">
    <vt:lpwstr>50, 0, 1, 1</vt:lpwstr>
  </property>
</Properties>
</file>